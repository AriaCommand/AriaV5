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IONS" sheetId="1" r:id="rId4"/>
    <sheet state="visible" name="SUMMARY" sheetId="2" r:id="rId5"/>
    <sheet state="visible" name="FAQ" sheetId="3" r:id="rId6"/>
    <sheet state="visible" name="Workout A (Phase 1)" sheetId="4" r:id="rId7"/>
    <sheet state="visible" name="Workout B (Phase 1)" sheetId="5" r:id="rId8"/>
    <sheet state="visible" name="Upper Body 1 (Phase 2)" sheetId="6" r:id="rId9"/>
    <sheet state="visible" name="Lower Body 1 (Phase 2)" sheetId="7" r:id="rId10"/>
    <sheet state="visible" name=" Upper Body 2 (Phase 2)" sheetId="8" r:id="rId11"/>
    <sheet state="visible" name="Lower Body 2 (Phase 2)" sheetId="9" r:id="rId12"/>
  </sheets>
  <definedNames/>
  <calcPr/>
</workbook>
</file>

<file path=xl/sharedStrings.xml><?xml version="1.0" encoding="utf-8"?>
<sst xmlns="http://schemas.openxmlformats.org/spreadsheetml/2006/main" count="1491" uniqueCount="274">
  <si>
    <t xml:space="preserve"> </t>
  </si>
  <si>
    <t>Beige background = user editable</t>
  </si>
  <si>
    <r>
      <rPr>
        <rFont val="Lato"/>
        <color rgb="FF0071BA"/>
        <sz val="20.0"/>
      </rPr>
      <t xml:space="preserve">STEP 2   </t>
    </r>
    <r>
      <rPr>
        <rFont val="Lato"/>
        <color rgb="FF0071BA"/>
        <sz val="15.0"/>
      </rPr>
      <t>Your weight change goal</t>
    </r>
  </si>
  <si>
    <r>
      <rPr>
        <rFont val="Lato"/>
        <color rgb="FF0071BA"/>
        <sz val="20.0"/>
      </rPr>
      <t xml:space="preserve">STEP 1   </t>
    </r>
    <r>
      <rPr>
        <rFont val="Lato"/>
        <color rgb="FF0071BA"/>
        <sz val="15.0"/>
      </rPr>
      <t>Enter your current body stats</t>
    </r>
  </si>
  <si>
    <t>Calculate goal weight change</t>
  </si>
  <si>
    <t>Enable</t>
  </si>
  <si>
    <t>Current goal available</t>
  </si>
  <si>
    <t>Main goal</t>
  </si>
  <si>
    <t>variables</t>
  </si>
  <si>
    <t>Body Stats</t>
  </si>
  <si>
    <t xml:space="preserve">1) What is your current training experience? 
</t>
  </si>
  <si>
    <t>Build Muscle</t>
  </si>
  <si>
    <t>Weights in Lb or Kg?</t>
  </si>
  <si>
    <r>
      <rPr>
        <rFont val="Lato"/>
        <color rgb="FF000000"/>
        <sz val="11.0"/>
      </rPr>
      <t xml:space="preserve"> - Beginner (</t>
    </r>
    <r>
      <rPr>
        <rFont val="Lato"/>
        <b/>
        <color rgb="FF000000"/>
        <sz val="11.0"/>
      </rPr>
      <t>less</t>
    </r>
    <r>
      <rPr>
        <rFont val="Lato"/>
        <color rgb="FF000000"/>
        <sz val="11.0"/>
      </rPr>
      <t xml:space="preserve"> than 1 year of </t>
    </r>
    <r>
      <rPr>
        <rFont val="Lato"/>
        <b/>
        <color rgb="FF000000"/>
        <sz val="11.0"/>
      </rPr>
      <t>consistent</t>
    </r>
    <r>
      <rPr>
        <rFont val="Lato"/>
        <color rgb="FF000000"/>
        <sz val="11.0"/>
      </rPr>
      <t xml:space="preserve"> training/dieting) 
</t>
    </r>
  </si>
  <si>
    <t>Sex</t>
  </si>
  <si>
    <t>Lose Fat</t>
  </si>
  <si>
    <r>
      <rPr>
        <rFont val="Lato"/>
        <color rgb="FF000000"/>
        <sz val="12.0"/>
      </rPr>
      <t xml:space="preserve">1) Enter your starting date </t>
    </r>
    <r>
      <rPr>
        <rFont val="Lato"/>
        <color rgb="FF000000"/>
        <sz val="8.0"/>
      </rPr>
      <t>(double-click to select calendar)</t>
    </r>
  </si>
  <si>
    <r>
      <rPr>
        <rFont val="Lato"/>
        <color rgb="FF000000"/>
        <sz val="11.0"/>
      </rPr>
      <t xml:space="preserve"> - Intermediate (</t>
    </r>
    <r>
      <rPr>
        <rFont val="Lato"/>
        <b/>
        <color rgb="FF000000"/>
        <sz val="11.0"/>
      </rPr>
      <t>more</t>
    </r>
    <r>
      <rPr>
        <rFont val="Lato"/>
        <color rgb="FF000000"/>
        <sz val="11.0"/>
      </rPr>
      <t xml:space="preserve"> than 1 year of </t>
    </r>
    <r>
      <rPr>
        <rFont val="Lato"/>
        <b/>
        <color rgb="FF000000"/>
        <sz val="11.0"/>
      </rPr>
      <t>consistent</t>
    </r>
    <r>
      <rPr>
        <rFont val="Lato"/>
        <color rgb="FF000000"/>
        <sz val="11.0"/>
      </rPr>
      <t xml:space="preserve"> training/dieting)</t>
    </r>
  </si>
  <si>
    <t>initial BF% calc</t>
  </si>
  <si>
    <t>BF%</t>
  </si>
  <si>
    <t>Maintain</t>
  </si>
  <si>
    <r>
      <rPr>
        <rFont val="Lato"/>
        <color rgb="FF000000"/>
        <sz val="12.0"/>
      </rPr>
      <t xml:space="preserve">2) Enter your current weight  </t>
    </r>
    <r>
      <rPr>
        <rFont val="Lato"/>
        <b/>
        <i/>
        <color rgb="FFFF0000"/>
        <sz val="12.0"/>
      </rPr>
      <t>*</t>
    </r>
  </si>
  <si>
    <t>2) What is your MAIN goal right now?</t>
  </si>
  <si>
    <t>BF% calc warning</t>
  </si>
  <si>
    <t>Training Experience</t>
  </si>
  <si>
    <t xml:space="preserve">Activate new calc </t>
  </si>
  <si>
    <r>
      <rPr>
        <rFont val="Lato"/>
        <color rgb="FF000000"/>
        <sz val="12.0"/>
      </rPr>
      <t xml:space="preserve">3) Enter your estimated body fat (%)  </t>
    </r>
    <r>
      <rPr>
        <rFont val="Lato"/>
        <b/>
        <color rgb="FFFF0000"/>
        <sz val="12.0"/>
      </rPr>
      <t>*</t>
    </r>
  </si>
  <si>
    <t>%</t>
  </si>
  <si>
    <r>
      <rPr>
        <rFont val="Lato"/>
        <color rgb="FF000000"/>
        <sz val="12.0"/>
      </rPr>
      <t xml:space="preserve">4) Enter your Gender </t>
    </r>
    <r>
      <rPr>
        <rFont val="Lato"/>
        <color rgb="FFFF0000"/>
        <sz val="12.0"/>
      </rPr>
      <t>*</t>
    </r>
  </si>
  <si>
    <t>Current selected recommended goal</t>
  </si>
  <si>
    <t>Goal Category</t>
  </si>
  <si>
    <t>Old Goal Category</t>
  </si>
  <si>
    <t>3) Here is the phase we recommend for you:</t>
  </si>
  <si>
    <t>* Select your phase from recommended list</t>
  </si>
  <si>
    <t>Message</t>
  </si>
  <si>
    <t>Your suggested goal weight change per week is:</t>
  </si>
  <si>
    <t>Male</t>
  </si>
  <si>
    <t>Female</t>
  </si>
  <si>
    <t>OPTIONAL Calculate your body fat %</t>
  </si>
  <si>
    <t>Disable</t>
  </si>
  <si>
    <t>This is the recommended weight change per week based on your training experience, body fat % and goal.  If you want a different goal weight change, disable the "calculate goal weight change" and "enter goal weight change" in item 4 below</t>
  </si>
  <si>
    <r>
      <rPr>
        <rFont val="Lato"/>
        <color rgb="FF000000"/>
        <sz val="12.0"/>
      </rPr>
      <t xml:space="preserve">2) Enter your current weight  </t>
    </r>
    <r>
      <rPr>
        <rFont val="Lato"/>
        <b/>
        <i/>
        <color rgb="FFFF0000"/>
        <sz val="12.0"/>
      </rPr>
      <t>*</t>
    </r>
  </si>
  <si>
    <t>Calculate Weight change%</t>
  </si>
  <si>
    <t>Old Protein Calc</t>
  </si>
  <si>
    <t>New Dynamic Calculation of Protein</t>
  </si>
  <si>
    <t>Step 1: Measurements in cm/in?</t>
  </si>
  <si>
    <t xml:space="preserve">Calculated Weight loss goal </t>
  </si>
  <si>
    <t>Male/Female Macro calc variables</t>
  </si>
  <si>
    <t>Latest Weight</t>
  </si>
  <si>
    <t>Step 2: Enter your Height:</t>
  </si>
  <si>
    <t>Used weight loss goal</t>
  </si>
  <si>
    <t>gender TDEE multiplier</t>
  </si>
  <si>
    <t>Latest BF%</t>
  </si>
  <si>
    <t>Step 3: Enter your Waist Measurement:</t>
  </si>
  <si>
    <t>* Manually enter your goal weight when above is disabled</t>
  </si>
  <si>
    <t>lower protein multiplier</t>
  </si>
  <si>
    <t>Latest Protein Multiplier</t>
  </si>
  <si>
    <t>Step 4: Enter Your Neck Measurement:</t>
  </si>
  <si>
    <t>Calorie Surplus</t>
  </si>
  <si>
    <t>upper protein mutiplier</t>
  </si>
  <si>
    <t>Latest Recommended Protein Amount</t>
  </si>
  <si>
    <r>
      <rPr>
        <rFont val="Lato"/>
        <color rgb="FF0071BA"/>
        <sz val="20.0"/>
      </rPr>
      <t xml:space="preserve">STEP 3  </t>
    </r>
    <r>
      <rPr>
        <rFont val="Lato"/>
        <color rgb="FF0071BA"/>
        <sz val="14.0"/>
      </rPr>
      <t>Your TDEE and macronutrient requirements</t>
    </r>
  </si>
  <si>
    <t>Calculated TDEE</t>
  </si>
  <si>
    <t>recommended protein multiplier</t>
  </si>
  <si>
    <t>Latest Minimum Protein Amount</t>
  </si>
  <si>
    <t>Your Calculated BF% is:</t>
  </si>
  <si>
    <t>need to eat</t>
  </si>
  <si>
    <t>lower fat multiplier</t>
  </si>
  <si>
    <t>Latest Maximum Protein Amount</t>
  </si>
  <si>
    <t>Your Estimated Current TDEE is</t>
  </si>
  <si>
    <t>calories</t>
  </si>
  <si>
    <t>avg daily calories + ((-prev week differential*3500)/# of days logged)</t>
  </si>
  <si>
    <t>base tdee formula</t>
  </si>
  <si>
    <t>protein</t>
  </si>
  <si>
    <t>upper fat multiplier</t>
  </si>
  <si>
    <t>Latest Protein Range</t>
  </si>
  <si>
    <t>old formula: =MROUND(G7*BB7,5)</t>
  </si>
  <si>
    <t>fat</t>
  </si>
  <si>
    <t>recommended fat multiplier</t>
  </si>
  <si>
    <t>Active Calc</t>
  </si>
  <si>
    <t>Previous BF%</t>
  </si>
  <si>
    <t>Reminder:  
Do NOT eat back your calories from extra exercise.  
The nutrition tracking spreadsheet already takes this into account.  See the FAQ for more information</t>
  </si>
  <si>
    <t>new formula (with body fat)</t>
  </si>
  <si>
    <t>carbs</t>
  </si>
  <si>
    <t>lower calorie limit</t>
  </si>
  <si>
    <t>Calorie message</t>
  </si>
  <si>
    <t>Here are Your Daily Calories/Macros:</t>
  </si>
  <si>
    <t xml:space="preserve">all required fields entered </t>
  </si>
  <si>
    <r>
      <rPr>
        <rFont val="Lato"/>
        <sz val="12.0"/>
      </rPr>
      <t xml:space="preserve">You need to </t>
    </r>
    <r>
      <rPr>
        <rFont val="Lato"/>
        <b/>
        <color rgb="FF0000FF"/>
        <sz val="12.0"/>
      </rPr>
      <t>eat</t>
    </r>
    <r>
      <rPr>
        <rFont val="Lato"/>
        <sz val="12.0"/>
      </rPr>
      <t>:</t>
    </r>
  </si>
  <si>
    <t>Acceptable Range*</t>
  </si>
  <si>
    <t>current estimated</t>
  </si>
  <si>
    <r>
      <rPr>
        <rFont val="Lato"/>
        <color rgb="FF000000"/>
        <sz val="12.0"/>
      </rPr>
      <t xml:space="preserve">You need this many grams of </t>
    </r>
    <r>
      <rPr>
        <rFont val="Lato"/>
        <b/>
        <color rgb="FFFF0000"/>
        <sz val="12.0"/>
      </rPr>
      <t>protein</t>
    </r>
    <r>
      <rPr>
        <rFont val="Lato"/>
        <color rgb="FF000000"/>
        <sz val="12.0"/>
      </rPr>
      <t>:</t>
    </r>
  </si>
  <si>
    <t>grams</t>
  </si>
  <si>
    <t>current day to day</t>
  </si>
  <si>
    <r>
      <rPr>
        <rFont val="Lato"/>
        <color rgb="FF000000"/>
        <sz val="12.0"/>
      </rPr>
      <t xml:space="preserve">You need this many grams of </t>
    </r>
    <r>
      <rPr>
        <rFont val="Lato"/>
        <b/>
        <color rgb="FF008E40"/>
        <sz val="12.0"/>
      </rPr>
      <t>fat</t>
    </r>
    <r>
      <rPr>
        <rFont val="Lato"/>
        <color rgb="FF000000"/>
        <sz val="12.0"/>
      </rPr>
      <t>:</t>
    </r>
  </si>
  <si>
    <r>
      <rPr>
        <rFont val="Lato"/>
        <color rgb="FF000000"/>
        <sz val="12.0"/>
      </rPr>
      <t xml:space="preserve">You need this many grams of </t>
    </r>
    <r>
      <rPr>
        <rFont val="Lato"/>
        <b/>
        <color rgb="FFBF9000"/>
        <sz val="12.0"/>
      </rPr>
      <t>carbs</t>
    </r>
    <r>
      <rPr>
        <rFont val="Lato"/>
        <color rgb="FF000000"/>
        <sz val="12.0"/>
      </rPr>
      <t>:</t>
    </r>
  </si>
  <si>
    <t>highlight min/max</t>
  </si>
  <si>
    <t>highlight value</t>
  </si>
  <si>
    <t xml:space="preserve">STEP 4   Enter you calorie intake and weight (daily) </t>
  </si>
  <si>
    <t>highlight average value</t>
  </si>
  <si>
    <t>current</t>
  </si>
  <si>
    <t>goal</t>
  </si>
  <si>
    <t>MIN</t>
  </si>
  <si>
    <t>MAX</t>
  </si>
  <si>
    <t>units/conversions</t>
  </si>
  <si>
    <t>Week</t>
  </si>
  <si>
    <t>Stats</t>
  </si>
  <si>
    <t>Avg.</t>
  </si>
  <si>
    <t>waist</t>
  </si>
  <si>
    <t>neck</t>
  </si>
  <si>
    <t>hip</t>
  </si>
  <si>
    <t>Calculated BF%</t>
  </si>
  <si>
    <t>Estimated BF%</t>
  </si>
  <si>
    <t>Weight Change</t>
  </si>
  <si>
    <t>TDEE</t>
  </si>
  <si>
    <t>Current Entry?</t>
  </si>
  <si>
    <t>week</t>
  </si>
  <si>
    <t>Month</t>
  </si>
  <si>
    <t>BF% History</t>
  </si>
  <si>
    <t>Protein Amount</t>
  </si>
  <si>
    <t>row count</t>
  </si>
  <si>
    <t>avg daily weight/
 avg daily calories</t>
  </si>
  <si>
    <t>prev week differntial</t>
  </si>
  <si>
    <t>tdee</t>
  </si>
  <si>
    <t>master TDEE calcs</t>
  </si>
  <si>
    <t>weekly TDEE calcs</t>
  </si>
  <si>
    <t>lb cal</t>
  </si>
  <si>
    <t>kg cal</t>
  </si>
  <si>
    <t>lb kj</t>
  </si>
  <si>
    <t>kg kj</t>
  </si>
  <si>
    <t>YYYY - MMM</t>
  </si>
  <si>
    <t>BF Calc</t>
  </si>
  <si>
    <t>Average weight history</t>
  </si>
  <si>
    <t>Calc BF%</t>
  </si>
  <si>
    <t>Est BF%</t>
  </si>
  <si>
    <t>Used BF%</t>
  </si>
  <si>
    <t>Protein Multiplier</t>
  </si>
  <si>
    <t>Recommended Protein</t>
  </si>
  <si>
    <t>Min</t>
  </si>
  <si>
    <t>Max</t>
  </si>
  <si>
    <t>Weight</t>
  </si>
  <si>
    <t>Calories</t>
  </si>
  <si>
    <t>Summary</t>
  </si>
  <si>
    <r>
      <rPr>
        <rFont val="Lato"/>
        <b/>
        <color rgb="FFFFFFFF"/>
        <sz val="12.0"/>
      </rPr>
      <t xml:space="preserve">Average </t>
    </r>
    <r>
      <rPr>
        <rFont val="Lato"/>
        <b val="0"/>
        <color rgb="FFFFFFFF"/>
        <sz val="12.0"/>
      </rPr>
      <t>TDEE</t>
    </r>
  </si>
  <si>
    <t>Actual Weight Change</t>
  </si>
  <si>
    <t>Goal Weight Change</t>
  </si>
  <si>
    <t>Frequently Asked Questions</t>
  </si>
  <si>
    <r>
      <rPr>
        <b/>
        <sz val="14.0"/>
      </rPr>
      <t>Do I need to factor in or eat back my “calories burned” through activity?</t>
    </r>
    <r>
      <rPr/>
      <t xml:space="preserve">
NO! The sheet averages your activity level (along with all other factors) such that you don’t need to worry about tracking or eating back your additional calories burned through exercise. Instead, simply stick to the calories/macros shown within your sheet. 
</t>
    </r>
    <r>
      <rPr>
        <b/>
        <sz val="14.0"/>
      </rPr>
      <t xml:space="preserve">When will my spreadsheet start adjusting my initial calories/macros and how often should I change to the new recommendations?
</t>
    </r>
    <r>
      <rPr/>
      <t xml:space="preserve">
The sheet will start tweaking your recommendations after you finish logging the first day of week 4. Prior to this, it will only show your initial calorie/macro recommendations. This is done so that you stick to the initial values and then adjust to the more accurate values it provides in the 4th week since it has now has had sufficient data to work with. And from then on, the sheet will continue to adjust weekly. As for how often to change to the new recommendations, every 3-4 weeks is a good idea to prevent you from reaching plateaus – but I’d suggest following the advice provided within the program regarding that.
</t>
    </r>
    <r>
      <rPr>
        <b/>
        <sz val="14.0"/>
      </rPr>
      <t>In the step 1 table, do I need to change my starting weight or body fat percentage as I gain/lose weight?</t>
    </r>
    <r>
      <rPr/>
      <t xml:space="preserve">
No. As discussed in the tutorials, if you’re updating your daily bodyweight and occasionally updating your body fat in the step 4 table, then the sheet will detect this and make the necessary adjustments.
</t>
    </r>
    <r>
      <rPr>
        <b/>
        <sz val="14.0"/>
      </rPr>
      <t>The body fat calculation doesn’t seem accurate for my body. Should I still use it?</t>
    </r>
    <r>
      <rPr/>
      <t xml:space="preserve">
The body fat calculator uses something called the “US Navy Method”. For many people it’s quite accurate (with some error of course) whereas for others it can be totally off – which is expected since its based on bodily measurements that can have a lot of variation and throw off the calculation. So use your own judgement - if the estimated % seems way off for you, then use the other method of estimating your body fat by looking at the body fat chat provided. Regardless, this will only affect your initial calorie/macro recommendations. Also make sure you’re taking the measurements properly by reading how in the written up tutorials. 
</t>
    </r>
    <r>
      <rPr>
        <b/>
        <sz val="14.0"/>
      </rPr>
      <t>My nutrition spreadsheet has updated the calories/macros but it seems WAY off (the calories are either way too high or way too low). Is something wrong?</t>
    </r>
    <r>
      <rPr/>
      <t xml:space="preserve">
If you’re losing or gaining weight too quickly or too slowly based on your weekly goal, then the sheet will adjust its recommendations accordingly. However, there are several variables that can potentially throw this off. 
One variable is that you are not tracking accurately! You input that you’re eating 2,000 calories yet in reality you’re eating 2,500 calories and that’s why you’re not losing weight. Make sure this isn’t the problem.
On the other hand, if you’re losing weight, then the sheet does not account for possible muscle growth as you lose weight (body recomposition). So if you lost 3 lbs of fat yet gained 1 lb of muscle in the process, then the sheet would only think you lost 2 lbs. This can make the sheet “think” that you aren’t hitting your weight loss goal, but in reality, you’re just building muscle as you lose fat which is a good thing! In this case, we suggest ignoring the sheet’s adjustments and stick to what has been working. If you are visually looking better AND you’re getting stronger in the gym then ignore what’s happening with your bodyweight! Your bodyweight is just one way to assess your progress but is not end all be all. You can be making tons of progress without seeing much change in your weight – so take frequent pictures, focus on progressing in the gym, and take bodily measurements in order to provide you with the most information possible!
For this reason, we’ve set a “floor” for the sheet to not go below 1,500 calories for males and 1,200 calories for females. If you’ve reached this floor, then you are likely going through a body recomposition and should not continue decreasing your calories. This low of a calorie intake would only be appropriate for smaller/lighter/shorter individuals.
Also keep in mind that the sheet often just needs more data – as it gets more and more accurate with the more data it has. 
So be patient, keep logging, and use your own judgement! Understand what the spreadsheet does and how it works, and you’ll be able to use maximize its effectiveness!
</t>
    </r>
    <r>
      <rPr>
        <b/>
        <sz val="14.0"/>
      </rPr>
      <t>If I change my goal/phase (e.g. lose fat to build muscle), do I need to start a new sheet?</t>
    </r>
    <r>
      <rPr/>
      <t xml:space="preserve">
Nope! The beauty about the sheet is that it will “remember” your data and use it to provide the best recommendations for you regardless of what your chosen goal/phase is.  
</t>
    </r>
  </si>
  <si>
    <t>Workout</t>
  </si>
  <si>
    <t>A</t>
  </si>
  <si>
    <t>R</t>
  </si>
  <si>
    <t>W</t>
  </si>
  <si>
    <t>Barbell Bench Press</t>
  </si>
  <si>
    <r>
      <rPr>
        <rFont val="Lato"/>
        <b/>
        <color rgb="FFFFFFFF"/>
      </rPr>
      <t>SET 1:</t>
    </r>
    <r>
      <rPr>
        <rFont val="Lato"/>
        <color rgb="FFFFFFFF"/>
      </rPr>
      <t xml:space="preserve"> 8-10</t>
    </r>
  </si>
  <si>
    <r>
      <rPr>
        <rFont val="Lato"/>
        <b/>
        <color rgb="FFFFFFFF"/>
      </rPr>
      <t>SET 2:</t>
    </r>
    <r>
      <rPr>
        <rFont val="Lato"/>
        <color rgb="FFFFFFFF"/>
      </rPr>
      <t xml:space="preserve"> 8-10</t>
    </r>
  </si>
  <si>
    <r>
      <rPr>
        <rFont val="Lato"/>
        <b/>
        <color rgb="FFFFFFFF"/>
      </rPr>
      <t xml:space="preserve">SET 3: </t>
    </r>
    <r>
      <rPr>
        <rFont val="Lato"/>
        <color rgb="FFFFFFFF"/>
      </rPr>
      <t>8-10</t>
    </r>
  </si>
  <si>
    <t>Back Squat</t>
  </si>
  <si>
    <r>
      <rPr>
        <rFont val="Lato"/>
        <b/>
        <color rgb="FFFFFFFF"/>
      </rPr>
      <t xml:space="preserve">SET 1: </t>
    </r>
    <r>
      <rPr>
        <rFont val="Lato"/>
        <color rgb="FFFFFFFF"/>
      </rPr>
      <t>8-10</t>
    </r>
  </si>
  <si>
    <r>
      <rPr>
        <rFont val="Lato"/>
        <b/>
        <color rgb="FFFFFFFF"/>
      </rPr>
      <t xml:space="preserve">SET 2: </t>
    </r>
    <r>
      <rPr>
        <rFont val="Lato"/>
        <color rgb="FFFFFFFF"/>
      </rPr>
      <t>8-10</t>
    </r>
  </si>
  <si>
    <r>
      <rPr>
        <rFont val="Lato"/>
        <b/>
        <color rgb="FFFFFFFF"/>
      </rPr>
      <t>SET 3:</t>
    </r>
    <r>
      <rPr>
        <rFont val="Lato"/>
        <color rgb="FFFFFFFF"/>
      </rPr>
      <t xml:space="preserve"> 8-10</t>
    </r>
  </si>
  <si>
    <r>
      <rPr>
        <rFont val="Lato"/>
        <b/>
        <color rgb="FFFFFFFF"/>
      </rPr>
      <t>SET 4:</t>
    </r>
    <r>
      <rPr>
        <rFont val="Lato"/>
        <color rgb="FFFFFFFF"/>
      </rPr>
      <t xml:space="preserve"> 8-10</t>
    </r>
  </si>
  <si>
    <t>Chest-Supported Row</t>
  </si>
  <si>
    <r>
      <rPr>
        <rFont val="Lato"/>
        <b/>
        <color rgb="FFFFFFFF"/>
      </rPr>
      <t>SET 1:</t>
    </r>
    <r>
      <rPr>
        <rFont val="Lato"/>
        <color rgb="FFFFFFFF"/>
      </rPr>
      <t xml:space="preserve"> 8-10</t>
    </r>
  </si>
  <si>
    <r>
      <rPr>
        <rFont val="Lato"/>
        <b/>
        <color rgb="FFFFFFFF"/>
      </rPr>
      <t xml:space="preserve">SET 2: </t>
    </r>
    <r>
      <rPr>
        <rFont val="Lato"/>
        <color rgb="FFFFFFFF"/>
      </rPr>
      <t>8-10</t>
    </r>
  </si>
  <si>
    <r>
      <rPr>
        <rFont val="Lato"/>
        <b/>
        <color rgb="FFFFFFFF"/>
      </rPr>
      <t>SET 3:</t>
    </r>
    <r>
      <rPr>
        <rFont val="Lato"/>
        <color rgb="FFFFFFFF"/>
      </rPr>
      <t xml:space="preserve"> 8-10</t>
    </r>
  </si>
  <si>
    <t>Dumbbell Lateral Raises</t>
  </si>
  <si>
    <r>
      <rPr>
        <rFont val="Lato"/>
        <b/>
        <color rgb="FFFFFFFF"/>
      </rPr>
      <t xml:space="preserve">SET 1: </t>
    </r>
    <r>
      <rPr>
        <rFont val="Lato"/>
        <color rgb="FFFFFFFF"/>
      </rPr>
      <t>10-15</t>
    </r>
  </si>
  <si>
    <r>
      <rPr>
        <rFont val="Lato"/>
        <b/>
        <color rgb="FFFFFFFF"/>
      </rPr>
      <t>SET 2:</t>
    </r>
    <r>
      <rPr>
        <rFont val="Lato"/>
        <color rgb="FFFFFFFF"/>
      </rPr>
      <t xml:space="preserve"> 10-15</t>
    </r>
  </si>
  <si>
    <r>
      <rPr>
        <rFont val="Lato"/>
        <b/>
        <color rgb="FFFFFFFF"/>
      </rPr>
      <t>SET 3:</t>
    </r>
    <r>
      <rPr>
        <rFont val="Lato"/>
        <color rgb="FFFFFFFF"/>
      </rPr>
      <t xml:space="preserve"> 10-15</t>
    </r>
  </si>
  <si>
    <t>Single Leg Weighted Calf Raise (per side)</t>
  </si>
  <si>
    <r>
      <rPr>
        <rFont val="Lato"/>
        <b/>
        <color rgb="FFFFFFFF"/>
      </rPr>
      <t>SET 1:</t>
    </r>
    <r>
      <rPr>
        <rFont val="Lato"/>
        <color rgb="FFFFFFFF"/>
      </rPr>
      <t xml:space="preserve"> 6-10</t>
    </r>
  </si>
  <si>
    <r>
      <rPr>
        <rFont val="Lato"/>
        <b/>
        <color rgb="FFFFFFFF"/>
      </rPr>
      <t>SET 2:</t>
    </r>
    <r>
      <rPr>
        <rFont val="Lato"/>
        <color rgb="FFFFFFFF"/>
      </rPr>
      <t xml:space="preserve"> 6-10</t>
    </r>
  </si>
  <si>
    <r>
      <rPr>
        <rFont val="Lato"/>
        <b/>
        <color rgb="FFFFFFFF"/>
      </rPr>
      <t>SET 3:</t>
    </r>
    <r>
      <rPr>
        <rFont val="Lato"/>
        <color rgb="FFFFFFFF"/>
      </rPr>
      <t xml:space="preserve"> 6-10</t>
    </r>
  </si>
  <si>
    <r>
      <rPr>
        <rFont val="Lato"/>
        <b/>
        <color rgb="FFFFFFFF"/>
      </rPr>
      <t>SET 4:</t>
    </r>
    <r>
      <rPr>
        <rFont val="Lato"/>
        <color rgb="FFFFFFFF"/>
      </rPr>
      <t xml:space="preserve"> 6-10</t>
    </r>
  </si>
  <si>
    <t>B</t>
  </si>
  <si>
    <t>Incline Dumbbell Press</t>
  </si>
  <si>
    <r>
      <rPr>
        <rFont val="Lato"/>
        <b/>
        <color rgb="FFFFFFFF"/>
      </rPr>
      <t xml:space="preserve">SET 1: </t>
    </r>
    <r>
      <rPr>
        <rFont val="Lato"/>
        <color rgb="FFFFFFFF"/>
      </rPr>
      <t>10-12</t>
    </r>
  </si>
  <si>
    <r>
      <rPr>
        <rFont val="Lato"/>
        <b/>
        <color rgb="FFFFFFFF"/>
      </rPr>
      <t>SET 2:</t>
    </r>
    <r>
      <rPr>
        <rFont val="Lato"/>
        <color rgb="FFFFFFFF"/>
      </rPr>
      <t xml:space="preserve"> 10-12</t>
    </r>
  </si>
  <si>
    <r>
      <rPr>
        <rFont val="Lato"/>
        <b/>
        <color rgb="FFFFFFFF"/>
      </rPr>
      <t>SET 3:</t>
    </r>
    <r>
      <rPr>
        <rFont val="Lato"/>
        <color rgb="FFFFFFFF"/>
      </rPr>
      <t xml:space="preserve"> 10-12</t>
    </r>
  </si>
  <si>
    <t>Deadlift</t>
  </si>
  <si>
    <r>
      <rPr>
        <rFont val="Lato"/>
        <b/>
        <color rgb="FFFFFFFF"/>
      </rPr>
      <t>SET 1:</t>
    </r>
    <r>
      <rPr>
        <rFont val="Lato"/>
        <color rgb="FFFFFFFF"/>
      </rPr>
      <t xml:space="preserve"> 6-8</t>
    </r>
  </si>
  <si>
    <r>
      <rPr>
        <rFont val="Lato"/>
        <b/>
        <color rgb="FFFFFFFF"/>
      </rPr>
      <t>SET 2:</t>
    </r>
    <r>
      <rPr>
        <rFont val="Lato"/>
        <color rgb="FFFFFFFF"/>
      </rPr>
      <t xml:space="preserve"> 6-8</t>
    </r>
  </si>
  <si>
    <r>
      <rPr>
        <rFont val="Lato"/>
        <b/>
        <color rgb="FFFFFFFF"/>
      </rPr>
      <t>SET 3:</t>
    </r>
    <r>
      <rPr>
        <rFont val="Lato"/>
        <color rgb="FFFFFFFF"/>
      </rPr>
      <t xml:space="preserve"> 6-8</t>
    </r>
  </si>
  <si>
    <t>Standing Overhead Press</t>
  </si>
  <si>
    <r>
      <rPr>
        <rFont val="Lato"/>
        <b/>
        <color rgb="FFFFFFFF"/>
      </rPr>
      <t>SET 1:</t>
    </r>
    <r>
      <rPr>
        <rFont val="Lato"/>
        <color rgb="FFFFFFFF"/>
      </rPr>
      <t xml:space="preserve"> 8-10</t>
    </r>
  </si>
  <si>
    <r>
      <rPr>
        <rFont val="Lato"/>
        <b/>
        <color rgb="FFFFFFFF"/>
      </rPr>
      <t xml:space="preserve">SET 2: </t>
    </r>
    <r>
      <rPr>
        <rFont val="Lato"/>
        <color rgb="FFFFFFFF"/>
      </rPr>
      <t>8-10</t>
    </r>
  </si>
  <si>
    <r>
      <rPr>
        <rFont val="Lato"/>
        <b/>
        <color rgb="FFFFFFFF"/>
      </rPr>
      <t>SET 3:</t>
    </r>
    <r>
      <rPr>
        <rFont val="Lato"/>
        <color rgb="FFFFFFFF"/>
      </rPr>
      <t xml:space="preserve"> 8-10</t>
    </r>
  </si>
  <si>
    <t>Pull-UPS</t>
  </si>
  <si>
    <r>
      <rPr>
        <rFont val="Lato"/>
        <b/>
        <color rgb="FFFFFFFF"/>
      </rPr>
      <t>SET 1:</t>
    </r>
    <r>
      <rPr>
        <rFont val="Lato"/>
        <color rgb="FFFFFFFF"/>
      </rPr>
      <t xml:space="preserve"> 8-10</t>
    </r>
  </si>
  <si>
    <r>
      <rPr>
        <rFont val="Lato"/>
        <b/>
        <color rgb="FFFFFFFF"/>
      </rPr>
      <t xml:space="preserve">SET 2: </t>
    </r>
    <r>
      <rPr>
        <rFont val="Lato"/>
        <color rgb="FFFFFFFF"/>
      </rPr>
      <t>8-10</t>
    </r>
  </si>
  <si>
    <r>
      <rPr>
        <rFont val="Lato"/>
        <b/>
        <color rgb="FFFFFFFF"/>
      </rPr>
      <t>SET 3:</t>
    </r>
    <r>
      <rPr>
        <rFont val="Lato"/>
        <color rgb="FFFFFFFF"/>
      </rPr>
      <t xml:space="preserve"> 8-10</t>
    </r>
  </si>
  <si>
    <t>Kneeling Face Pulls</t>
  </si>
  <si>
    <r>
      <rPr>
        <rFont val="Lato"/>
        <b/>
        <color rgb="FFFFFFFF"/>
      </rPr>
      <t xml:space="preserve">SET 1: </t>
    </r>
    <r>
      <rPr>
        <rFont val="Lato"/>
        <color rgb="FFFFFFFF"/>
      </rPr>
      <t>10-15</t>
    </r>
  </si>
  <si>
    <r>
      <rPr>
        <rFont val="Lato"/>
        <b/>
        <color rgb="FFFFFFFF"/>
      </rPr>
      <t>SET 2:</t>
    </r>
    <r>
      <rPr>
        <rFont val="Lato"/>
        <color rgb="FFFFFFFF"/>
      </rPr>
      <t xml:space="preserve"> 10-15</t>
    </r>
  </si>
  <si>
    <r>
      <rPr>
        <rFont val="Lato"/>
        <b/>
        <color rgb="FFFFFFFF"/>
      </rPr>
      <t>SET 3:</t>
    </r>
    <r>
      <rPr>
        <rFont val="Lato"/>
        <color rgb="FFFFFFFF"/>
      </rPr>
      <t xml:space="preserve"> 10-15</t>
    </r>
  </si>
  <si>
    <r>
      <rPr>
        <rFont val="Lato"/>
        <b/>
        <color rgb="FFFFFFFF"/>
      </rPr>
      <t xml:space="preserve">SET 4: </t>
    </r>
    <r>
      <rPr>
        <rFont val="Lato"/>
        <color rgb="FFFFFFFF"/>
      </rPr>
      <t>10-15</t>
    </r>
  </si>
  <si>
    <t>Upper Body 1</t>
  </si>
  <si>
    <r>
      <rPr>
        <rFont val="Lato,Arial"/>
        <b/>
        <color rgb="FFFFFFFF"/>
      </rPr>
      <t xml:space="preserve">SET 1: </t>
    </r>
    <r>
      <rPr>
        <rFont val="Lato,Arial"/>
        <b val="0"/>
        <color rgb="FFFFFFFF"/>
      </rPr>
      <t>8-10</t>
    </r>
  </si>
  <si>
    <r>
      <rPr>
        <rFont val="Lato,Arial"/>
        <b/>
        <color rgb="FFFFFFFF"/>
      </rPr>
      <t xml:space="preserve">SET 2: </t>
    </r>
    <r>
      <rPr>
        <rFont val="Lato,Arial"/>
        <b val="0"/>
        <color rgb="FFFFFFFF"/>
      </rPr>
      <t>8-10</t>
    </r>
  </si>
  <si>
    <r>
      <rPr>
        <rFont val="Lato,Arial"/>
        <b/>
        <color rgb="FFFFFFFF"/>
      </rPr>
      <t xml:space="preserve">SET 3: </t>
    </r>
    <r>
      <rPr>
        <rFont val="Lato,Arial"/>
        <b val="0"/>
        <color rgb="FFFFFFFF"/>
      </rPr>
      <t>8-10</t>
    </r>
  </si>
  <si>
    <r>
      <rPr>
        <rFont val="Lato,Arial"/>
        <b/>
        <color rgb="FFFFFFFF"/>
      </rPr>
      <t xml:space="preserve">SET 4: </t>
    </r>
    <r>
      <rPr>
        <rFont val="Lato,Arial"/>
        <b val="0"/>
        <color rgb="FFFFFFFF"/>
      </rPr>
      <t>8-10</t>
    </r>
  </si>
  <si>
    <r>
      <rPr>
        <rFont val="Lato,Arial"/>
        <b/>
        <color rgb="FFFFFFFF"/>
      </rPr>
      <t xml:space="preserve">SET 1: </t>
    </r>
    <r>
      <rPr>
        <rFont val="Lato,Arial"/>
        <b val="0"/>
        <color rgb="FFFFFFFF"/>
      </rPr>
      <t>8-10</t>
    </r>
  </si>
  <si>
    <r>
      <rPr>
        <rFont val="Lato,Arial"/>
        <b/>
        <color rgb="FFFFFFFF"/>
      </rPr>
      <t>SET 2:</t>
    </r>
    <r>
      <rPr>
        <rFont val="Lato,Arial"/>
        <b val="0"/>
        <color rgb="FFFFFFFF"/>
      </rPr>
      <t xml:space="preserve"> 8-10</t>
    </r>
  </si>
  <si>
    <r>
      <rPr>
        <rFont val="Lato,Arial"/>
        <b/>
        <color rgb="FFFFFFFF"/>
      </rPr>
      <t xml:space="preserve">SET 3: </t>
    </r>
    <r>
      <rPr>
        <rFont val="Lato,Arial"/>
        <b val="0"/>
        <color rgb="FFFFFFFF"/>
      </rPr>
      <t>8-10</t>
    </r>
  </si>
  <si>
    <t>Lean-Away Cable Lateral Raises</t>
  </si>
  <si>
    <r>
      <rPr>
        <rFont val="Lato,Arial"/>
        <b/>
        <color rgb="FFFFFFFF"/>
      </rPr>
      <t xml:space="preserve">SET 1: </t>
    </r>
    <r>
      <rPr>
        <rFont val="Lato,Arial"/>
        <b val="0"/>
        <color rgb="FFFFFFFF"/>
      </rPr>
      <t>10-12</t>
    </r>
  </si>
  <si>
    <r>
      <rPr>
        <rFont val="Lato,Arial"/>
        <b/>
        <color rgb="FFFFFFFF"/>
      </rPr>
      <t xml:space="preserve">SET 2: </t>
    </r>
    <r>
      <rPr>
        <rFont val="Lato,Arial"/>
        <b val="0"/>
        <color rgb="FFFFFFFF"/>
      </rPr>
      <t>10-12</t>
    </r>
  </si>
  <si>
    <r>
      <rPr>
        <rFont val="Lato,Arial"/>
        <b/>
        <color rgb="FFFFFFFF"/>
      </rPr>
      <t xml:space="preserve">SET 3: </t>
    </r>
    <r>
      <rPr>
        <rFont val="Lato,Arial"/>
        <b val="0"/>
        <color rgb="FFFFFFFF"/>
      </rPr>
      <t>10-12</t>
    </r>
  </si>
  <si>
    <t>Pull-Ups</t>
  </si>
  <si>
    <r>
      <rPr>
        <rFont val="Lato"/>
        <b/>
        <color rgb="FFFFFFFF"/>
      </rPr>
      <t>SET 1:</t>
    </r>
    <r>
      <rPr>
        <rFont val="Lato"/>
        <color rgb="FFFFFFFF"/>
      </rPr>
      <t xml:space="preserve"> 6-8</t>
    </r>
  </si>
  <si>
    <r>
      <rPr>
        <rFont val="Lato"/>
        <b/>
        <color rgb="FFFFFFFF"/>
      </rPr>
      <t>SET 2:</t>
    </r>
    <r>
      <rPr>
        <rFont val="Lato"/>
        <color rgb="FFFFFFFF"/>
      </rPr>
      <t xml:space="preserve"> 6-8</t>
    </r>
  </si>
  <si>
    <r>
      <rPr>
        <rFont val="Lato"/>
        <b/>
        <color rgb="FFFFFFFF"/>
      </rPr>
      <t>SET 3:</t>
    </r>
    <r>
      <rPr>
        <rFont val="Lato"/>
        <color rgb="FFFFFFFF"/>
      </rPr>
      <t xml:space="preserve"> 6-8</t>
    </r>
  </si>
  <si>
    <t>Incline Overhead Dumbbell Extensions</t>
  </si>
  <si>
    <r>
      <rPr>
        <rFont val="Lato"/>
        <b/>
        <color rgb="FFFFFFFF"/>
      </rPr>
      <t>SET 1:</t>
    </r>
    <r>
      <rPr>
        <rFont val="Lato"/>
        <color rgb="FFFFFFFF"/>
      </rPr>
      <t xml:space="preserve"> 12-15</t>
    </r>
  </si>
  <si>
    <r>
      <rPr>
        <rFont val="Lato"/>
        <b/>
        <color rgb="FFFFFFFF"/>
      </rPr>
      <t>SET 2:</t>
    </r>
    <r>
      <rPr>
        <rFont val="Lato"/>
        <color rgb="FFFFFFFF"/>
      </rPr>
      <t xml:space="preserve"> 12-15</t>
    </r>
  </si>
  <si>
    <r>
      <rPr>
        <rFont val="Lato"/>
        <b/>
        <color rgb="FFFFFFFF"/>
      </rPr>
      <t>SET 3:</t>
    </r>
    <r>
      <rPr>
        <rFont val="Lato"/>
        <color rgb="FFFFFFFF"/>
      </rPr>
      <t xml:space="preserve"> 12-15</t>
    </r>
  </si>
  <si>
    <t>Lower Body 1</t>
  </si>
  <si>
    <r>
      <rPr>
        <rFont val="Lato"/>
        <b/>
        <color rgb="FFFFFFFF"/>
      </rPr>
      <t>SET 1:</t>
    </r>
    <r>
      <rPr>
        <rFont val="Lato"/>
        <color rgb="FFFFFFFF"/>
      </rPr>
      <t xml:space="preserve"> 6-8</t>
    </r>
  </si>
  <si>
    <r>
      <rPr>
        <rFont val="Lato"/>
        <b/>
        <color rgb="FFFFFFFF"/>
      </rPr>
      <t>SET 2:</t>
    </r>
    <r>
      <rPr>
        <rFont val="Lato"/>
        <color rgb="FFFFFFFF"/>
      </rPr>
      <t xml:space="preserve"> 6-8</t>
    </r>
  </si>
  <si>
    <r>
      <rPr>
        <rFont val="Lato"/>
        <b/>
        <color rgb="FFFFFFFF"/>
      </rPr>
      <t>SET 3:</t>
    </r>
    <r>
      <rPr>
        <rFont val="Lato"/>
        <color rgb="FFFFFFFF"/>
      </rPr>
      <t xml:space="preserve"> 6-8</t>
    </r>
  </si>
  <si>
    <r>
      <rPr>
        <rFont val="Lato"/>
        <b/>
        <color rgb="FFFFFFFF"/>
      </rPr>
      <t>SET 4:</t>
    </r>
    <r>
      <rPr>
        <rFont val="Lato"/>
        <color rgb="FFFFFFFF"/>
      </rPr>
      <t xml:space="preserve"> 6-8</t>
    </r>
  </si>
  <si>
    <t>Bulgarian Split Squat</t>
  </si>
  <si>
    <r>
      <rPr>
        <rFont val="Lato,Arial"/>
        <b/>
        <color rgb="FFFFFFFF"/>
      </rPr>
      <t xml:space="preserve">SET 1: </t>
    </r>
    <r>
      <rPr>
        <rFont val="Lato,Arial"/>
        <b val="0"/>
        <color rgb="FFFFFFFF"/>
      </rPr>
      <t>8-10</t>
    </r>
  </si>
  <si>
    <r>
      <rPr>
        <rFont val="Lato,Arial"/>
        <b/>
        <color rgb="FFFFFFFF"/>
      </rPr>
      <t>SET 2:</t>
    </r>
    <r>
      <rPr>
        <rFont val="Lato,Arial"/>
        <b val="0"/>
        <color rgb="FFFFFFFF"/>
      </rPr>
      <t xml:space="preserve"> 8-10</t>
    </r>
  </si>
  <si>
    <r>
      <rPr>
        <rFont val="Lato,Arial"/>
        <b/>
        <color rgb="FFFFFFFF"/>
      </rPr>
      <t xml:space="preserve">SET 3: </t>
    </r>
    <r>
      <rPr>
        <rFont val="Lato,Arial"/>
        <b val="0"/>
        <color rgb="FFFFFFFF"/>
      </rPr>
      <t>8-10</t>
    </r>
  </si>
  <si>
    <t>Swiss Ball Leg Curls</t>
  </si>
  <si>
    <r>
      <rPr>
        <rFont val="Lato"/>
        <b/>
        <color rgb="FFFFFFFF"/>
      </rPr>
      <t>SET 1:</t>
    </r>
    <r>
      <rPr>
        <rFont val="Lato"/>
        <color rgb="FFFFFFFF"/>
      </rPr>
      <t xml:space="preserve"> 8-12</t>
    </r>
  </si>
  <si>
    <r>
      <rPr>
        <rFont val="Lato"/>
        <b/>
        <color rgb="FFFFFFFF"/>
      </rPr>
      <t>SET 2:</t>
    </r>
    <r>
      <rPr>
        <rFont val="Lato"/>
        <color rgb="FFFFFFFF"/>
      </rPr>
      <t xml:space="preserve"> 8-12</t>
    </r>
  </si>
  <si>
    <r>
      <rPr>
        <rFont val="Lato"/>
        <b/>
        <color rgb="FFFFFFFF"/>
      </rPr>
      <t>SET 3:</t>
    </r>
    <r>
      <rPr>
        <rFont val="Lato"/>
        <color rgb="FFFFFFFF"/>
      </rPr>
      <t xml:space="preserve"> 8-12</t>
    </r>
  </si>
  <si>
    <r>
      <rPr>
        <rFont val="Lato"/>
        <b/>
        <color rgb="FFFFFFFF"/>
      </rPr>
      <t>SET 4:</t>
    </r>
    <r>
      <rPr>
        <rFont val="Lato"/>
        <color rgb="FFFFFFFF"/>
      </rPr>
      <t xml:space="preserve"> 8-12</t>
    </r>
  </si>
  <si>
    <t>Single Leg Weighted Calf Raise</t>
  </si>
  <si>
    <r>
      <rPr>
        <rFont val="Lato,Arial"/>
        <b/>
        <color rgb="FFFFFFFF"/>
      </rPr>
      <t xml:space="preserve">SET 1: </t>
    </r>
    <r>
      <rPr>
        <rFont val="Lato,Arial"/>
        <b val="0"/>
        <color rgb="FFFFFFFF"/>
      </rPr>
      <t>6-10</t>
    </r>
  </si>
  <si>
    <r>
      <rPr>
        <rFont val="Lato,Arial"/>
        <b/>
        <color rgb="FFFFFFFF"/>
      </rPr>
      <t xml:space="preserve">SET 2: </t>
    </r>
    <r>
      <rPr>
        <rFont val="Lato,Arial"/>
        <b val="0"/>
        <color rgb="FFFFFFFF"/>
      </rPr>
      <t>6-10</t>
    </r>
  </si>
  <si>
    <r>
      <rPr>
        <rFont val="Lato,Arial"/>
        <b/>
        <color rgb="FFFFFFFF"/>
      </rPr>
      <t xml:space="preserve">SET 3: </t>
    </r>
    <r>
      <rPr>
        <rFont val="Lato,Arial"/>
        <b val="0"/>
        <color rgb="FFFFFFFF"/>
      </rPr>
      <t>6-10</t>
    </r>
  </si>
  <si>
    <r>
      <rPr>
        <rFont val="Lato"/>
        <b/>
        <color rgb="FFFFFFFF"/>
      </rPr>
      <t>SET 4:</t>
    </r>
    <r>
      <rPr>
        <rFont val="Lato"/>
        <color rgb="FFFFFFFF"/>
      </rPr>
      <t xml:space="preserve"> 6-10</t>
    </r>
  </si>
  <si>
    <t>Upper Body 2</t>
  </si>
  <si>
    <r>
      <rPr>
        <rFont val="Lato"/>
        <b/>
        <color rgb="FFFFFFFF"/>
      </rPr>
      <t>SET 1:</t>
    </r>
    <r>
      <rPr>
        <rFont val="Lato"/>
        <color rgb="FFFFFFFF"/>
      </rPr>
      <t xml:space="preserve"> 6-8</t>
    </r>
  </si>
  <si>
    <r>
      <rPr>
        <rFont val="Lato"/>
        <b/>
        <color rgb="FFFFFFFF"/>
      </rPr>
      <t>SET 2:</t>
    </r>
    <r>
      <rPr>
        <rFont val="Lato"/>
        <color rgb="FFFFFFFF"/>
      </rPr>
      <t xml:space="preserve"> 6-8</t>
    </r>
  </si>
  <si>
    <r>
      <rPr>
        <rFont val="Lato"/>
        <b/>
        <color rgb="FFFFFFFF"/>
      </rPr>
      <t>SET 3:</t>
    </r>
    <r>
      <rPr>
        <rFont val="Lato"/>
        <color rgb="FFFFFFFF"/>
      </rPr>
      <t xml:space="preserve"> 6-8</t>
    </r>
  </si>
  <si>
    <r>
      <rPr>
        <rFont val="Lato"/>
        <b/>
        <color rgb="FFFFFFFF"/>
      </rPr>
      <t>SET 4:</t>
    </r>
    <r>
      <rPr>
        <rFont val="Lato"/>
        <color rgb="FFFFFFFF"/>
      </rPr>
      <t xml:space="preserve"> 6-8</t>
    </r>
  </si>
  <si>
    <t>Seated Row</t>
  </si>
  <si>
    <r>
      <rPr>
        <rFont val="Lato,Arial"/>
        <b/>
        <color rgb="FFFFFFFF"/>
      </rPr>
      <t xml:space="preserve">SET 1: </t>
    </r>
    <r>
      <rPr>
        <rFont val="Lato,Arial"/>
        <b val="0"/>
        <color rgb="FFFFFFFF"/>
      </rPr>
      <t>8-10</t>
    </r>
  </si>
  <si>
    <r>
      <rPr>
        <rFont val="Lato,Arial"/>
        <b/>
        <color rgb="FFFFFFFF"/>
      </rPr>
      <t>SET 2:</t>
    </r>
    <r>
      <rPr>
        <rFont val="Lato,Arial"/>
        <b val="0"/>
        <color rgb="FFFFFFFF"/>
      </rPr>
      <t xml:space="preserve"> 8-10</t>
    </r>
  </si>
  <si>
    <r>
      <rPr>
        <rFont val="Lato,Arial"/>
        <b/>
        <color rgb="FFFFFFFF"/>
      </rPr>
      <t xml:space="preserve">SET 3: </t>
    </r>
    <r>
      <rPr>
        <rFont val="Lato,Arial"/>
        <b val="0"/>
        <color rgb="FFFFFFFF"/>
      </rPr>
      <t>8-10</t>
    </r>
  </si>
  <si>
    <r>
      <rPr>
        <rFont val="Lato,Arial"/>
        <b/>
        <color rgb="FFFFFFFF"/>
      </rPr>
      <t xml:space="preserve">SET 1: </t>
    </r>
    <r>
      <rPr>
        <rFont val="Lato,Arial"/>
        <b val="0"/>
        <color rgb="FFFFFFFF"/>
      </rPr>
      <t>8-10</t>
    </r>
  </si>
  <si>
    <r>
      <rPr>
        <rFont val="Lato,Arial"/>
        <b/>
        <color rgb="FFFFFFFF"/>
      </rPr>
      <t>SET 2:</t>
    </r>
    <r>
      <rPr>
        <rFont val="Lato,Arial"/>
        <b val="0"/>
        <color rgb="FFFFFFFF"/>
      </rPr>
      <t xml:space="preserve"> 8-10</t>
    </r>
  </si>
  <si>
    <r>
      <rPr>
        <rFont val="Lato,Arial"/>
        <b/>
        <color rgb="FFFFFFFF"/>
      </rPr>
      <t xml:space="preserve">SET 3: </t>
    </r>
    <r>
      <rPr>
        <rFont val="Lato,Arial"/>
        <b val="0"/>
        <color rgb="FFFFFFFF"/>
      </rPr>
      <t>8-10</t>
    </r>
  </si>
  <si>
    <t>Superset</t>
  </si>
  <si>
    <t>Kneeling Facepulls</t>
  </si>
  <si>
    <t>SET 1: 10-15</t>
  </si>
  <si>
    <t>SET 2: 10-15</t>
  </si>
  <si>
    <t>SET 3: 10-15</t>
  </si>
  <si>
    <t>High to Low Cable Flies</t>
  </si>
  <si>
    <t>Incline Dumbbell Curls</t>
  </si>
  <si>
    <r>
      <rPr>
        <rFont val="Lato,Arial"/>
        <b/>
        <color rgb="FFFFFFFF"/>
      </rPr>
      <t xml:space="preserve">SET 1: </t>
    </r>
    <r>
      <rPr>
        <rFont val="Lato,Arial"/>
        <b val="0"/>
        <color rgb="FFFFFFFF"/>
      </rPr>
      <t>8-10</t>
    </r>
  </si>
  <si>
    <r>
      <rPr>
        <rFont val="Lato,Arial"/>
        <b/>
        <color rgb="FFFFFFFF"/>
      </rPr>
      <t>SET 2:</t>
    </r>
    <r>
      <rPr>
        <rFont val="Lato,Arial"/>
        <b val="0"/>
        <color rgb="FFFFFFFF"/>
      </rPr>
      <t xml:space="preserve"> 8-10</t>
    </r>
  </si>
  <si>
    <r>
      <rPr>
        <rFont val="Lato,Arial"/>
        <b/>
        <color rgb="FFFFFFFF"/>
      </rPr>
      <t xml:space="preserve">SET 3: </t>
    </r>
    <r>
      <rPr>
        <rFont val="Lato,Arial"/>
        <b val="0"/>
        <color rgb="FFFFFFFF"/>
      </rPr>
      <t>8-10</t>
    </r>
  </si>
  <si>
    <t>Lower Body 2</t>
  </si>
  <si>
    <r>
      <rPr>
        <rFont val="Lato"/>
        <b/>
        <color rgb="FFFFFFFF"/>
      </rPr>
      <t>SET 1:</t>
    </r>
    <r>
      <rPr>
        <rFont val="Lato"/>
        <color rgb="FFFFFFFF"/>
      </rPr>
      <t xml:space="preserve"> 6-8</t>
    </r>
  </si>
  <si>
    <r>
      <rPr>
        <rFont val="Lato"/>
        <b/>
        <color rgb="FFFFFFFF"/>
      </rPr>
      <t>SET 2:</t>
    </r>
    <r>
      <rPr>
        <rFont val="Lato"/>
        <color rgb="FFFFFFFF"/>
      </rPr>
      <t xml:space="preserve"> 6-8</t>
    </r>
  </si>
  <si>
    <r>
      <rPr>
        <rFont val="Lato"/>
        <b/>
        <color rgb="FFFFFFFF"/>
      </rPr>
      <t>SET 3:</t>
    </r>
    <r>
      <rPr>
        <rFont val="Lato"/>
        <color rgb="FFFFFFFF"/>
      </rPr>
      <t xml:space="preserve"> 6-8</t>
    </r>
  </si>
  <si>
    <t>Leg Press</t>
  </si>
  <si>
    <r>
      <rPr>
        <rFont val="Lato,Arial"/>
        <b/>
        <color rgb="FFFFFFFF"/>
      </rPr>
      <t xml:space="preserve">SET 1: </t>
    </r>
    <r>
      <rPr>
        <rFont val="Lato,Arial"/>
        <b val="0"/>
        <color rgb="FFFFFFFF"/>
      </rPr>
      <t>10-12</t>
    </r>
  </si>
  <si>
    <r>
      <rPr>
        <rFont val="Lato,Arial"/>
        <b/>
        <color rgb="FFFFFFFF"/>
      </rPr>
      <t xml:space="preserve">SET 2: </t>
    </r>
    <r>
      <rPr>
        <rFont val="Lato,Arial"/>
        <b val="0"/>
        <color rgb="FFFFFFFF"/>
      </rPr>
      <t>10-12</t>
    </r>
  </si>
  <si>
    <r>
      <rPr>
        <rFont val="Lato,Arial"/>
        <b/>
        <color rgb="FFFFFFFF"/>
      </rPr>
      <t xml:space="preserve">SET 3: </t>
    </r>
    <r>
      <rPr>
        <rFont val="Lato,Arial"/>
        <b val="0"/>
        <color rgb="FFFFFFFF"/>
      </rPr>
      <t>10-12</t>
    </r>
  </si>
  <si>
    <t>Reverse Lunges (per side)</t>
  </si>
  <si>
    <r>
      <rPr>
        <rFont val="Lato,Arial"/>
        <b/>
        <color rgb="FFFFFFFF"/>
      </rPr>
      <t xml:space="preserve">SET 1: </t>
    </r>
    <r>
      <rPr>
        <rFont val="Lato,Arial"/>
        <b val="0"/>
        <color rgb="FFFFFFFF"/>
      </rPr>
      <t>8-10</t>
    </r>
  </si>
  <si>
    <r>
      <rPr>
        <rFont val="Lato,Arial"/>
        <b/>
        <color rgb="FFFFFFFF"/>
      </rPr>
      <t>SET 2:</t>
    </r>
    <r>
      <rPr>
        <rFont val="Lato,Arial"/>
        <b val="0"/>
        <color rgb="FFFFFFFF"/>
      </rPr>
      <t xml:space="preserve"> 8-10</t>
    </r>
  </si>
  <si>
    <r>
      <rPr>
        <rFont val="Lato,Arial"/>
        <b/>
        <color rgb="FFFFFFFF"/>
      </rPr>
      <t xml:space="preserve">SET 3: </t>
    </r>
    <r>
      <rPr>
        <rFont val="Lato,Arial"/>
        <b val="0"/>
        <color rgb="FFFFFFFF"/>
      </rPr>
      <t>8-10</t>
    </r>
  </si>
  <si>
    <t>Seated Weighted Calf Raise</t>
  </si>
  <si>
    <r>
      <rPr>
        <rFont val="Lato,Arial"/>
        <b/>
        <color rgb="FFFFFFFF"/>
      </rPr>
      <t xml:space="preserve">SET 1: </t>
    </r>
    <r>
      <rPr>
        <rFont val="Lato,Arial"/>
        <b val="0"/>
        <color rgb="FFFFFFFF"/>
      </rPr>
      <t>10-15</t>
    </r>
  </si>
  <si>
    <r>
      <rPr>
        <rFont val="Lato,Arial"/>
        <b/>
        <color rgb="FFFFFFFF"/>
      </rPr>
      <t xml:space="preserve">SET 2: </t>
    </r>
    <r>
      <rPr>
        <rFont val="Lato,Arial"/>
        <b val="0"/>
        <color rgb="FFFFFFFF"/>
      </rPr>
      <t>10-15</t>
    </r>
  </si>
  <si>
    <r>
      <rPr>
        <rFont val="Lato,Arial"/>
        <b/>
        <color rgb="FFFFFFFF"/>
      </rPr>
      <t xml:space="preserve">SET 3: </t>
    </r>
    <r>
      <rPr>
        <rFont val="Lato,Arial"/>
        <b val="0"/>
        <color rgb="FFFFFFFF"/>
      </rPr>
      <t>10-15</t>
    </r>
  </si>
  <si>
    <r>
      <rPr>
        <rFont val="Lato,Arial"/>
        <b/>
        <color rgb="FFFFFFFF"/>
      </rPr>
      <t xml:space="preserve">SET 4: </t>
    </r>
    <r>
      <rPr>
        <rFont val="Lato,Arial"/>
        <b val="0"/>
        <color rgb="FFFFFFFF"/>
      </rPr>
      <t>10-15</t>
    </r>
  </si>
</sst>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0.0"/>
    <numFmt numFmtId="165" formatCode="0.000"/>
    <numFmt numFmtId="166" formatCode="#,##0_);[Red]\-#,##0"/>
    <numFmt numFmtId="167" formatCode="d&quot; - &quot;mmm&quot; - &quot;yyyy"/>
    <numFmt numFmtId="168" formatCode="yyyy-MM-dd"/>
    <numFmt numFmtId="169" formatCode="[Red]#,##0.0;[Green]#,##0.0"/>
    <numFmt numFmtId="170" formatCode="#,##0.00_);[Red]\-#,##0.00"/>
    <numFmt numFmtId="171" formatCode="mmm&quot;-&quot;dd"/>
    <numFmt numFmtId="172" formatCode="dd&quot;-&quot;mmm&quot;-&quot;yy"/>
    <numFmt numFmtId="173" formatCode="[$-409]d\-mmm\-yy"/>
    <numFmt numFmtId="174" formatCode="#,##0.0_);[Red]\-#,##0.0"/>
    <numFmt numFmtId="175" formatCode="#,##0.0"/>
    <numFmt numFmtId="176" formatCode="+#,##0.00;-#,##0.00"/>
    <numFmt numFmtId="177" formatCode="0.0000"/>
    <numFmt numFmtId="178" formatCode="m/d/yy"/>
    <numFmt numFmtId="179" formatCode="m/d"/>
    <numFmt numFmtId="180" formatCode="d.m.yyyy"/>
  </numFmts>
  <fonts count="54">
    <font>
      <sz val="10.0"/>
      <color rgb="FF000000"/>
      <name val="Arial"/>
    </font>
    <font>
      <sz val="12.0"/>
      <color rgb="FF000000"/>
      <name val="Lato"/>
    </font>
    <font>
      <b/>
      <sz val="25.0"/>
      <color rgb="FF000000"/>
      <name val="Lato"/>
    </font>
    <font/>
    <font>
      <b/>
      <i/>
      <sz val="12.0"/>
      <color rgb="FF000000"/>
      <name val="Lato"/>
    </font>
    <font>
      <sz val="20.0"/>
      <color rgb="FF0071BA"/>
      <name val="Lato"/>
    </font>
    <font>
      <b/>
    </font>
    <font>
      <sz val="10.0"/>
      <color rgb="FF000000"/>
      <name val="Lato"/>
    </font>
    <font>
      <sz val="12.0"/>
      <name val="Lato"/>
    </font>
    <font>
      <sz val="11.0"/>
      <color rgb="FF000000"/>
      <name val="Inconsolata"/>
    </font>
    <font>
      <sz val="30.0"/>
      <color rgb="FF000000"/>
      <name val="Lato"/>
    </font>
    <font>
      <sz val="12.0"/>
      <color rgb="FF0071BA"/>
      <name val="Lato"/>
    </font>
    <font>
      <b/>
      <sz val="12.0"/>
      <name val="Lato"/>
    </font>
    <font>
      <b/>
      <i/>
      <sz val="12.0"/>
      <color rgb="FFFF0000"/>
      <name val="Lato"/>
    </font>
    <font>
      <sz val="11.0"/>
      <name val="Calibri"/>
    </font>
    <font>
      <b/>
      <sz val="12.0"/>
      <color rgb="FFFFFFFF"/>
      <name val="Lato"/>
    </font>
    <font>
      <b/>
      <sz val="12.0"/>
      <color rgb="FF000000"/>
      <name val="Lato"/>
    </font>
    <font>
      <sz val="11.0"/>
      <color rgb="FF000000"/>
      <name val="Lato"/>
    </font>
    <font>
      <b/>
      <sz val="12.0"/>
      <color rgb="FF0071BA"/>
      <name val="Lato"/>
    </font>
    <font>
      <sz val="12.0"/>
      <color rgb="FF1A97A8"/>
      <name val="Lato"/>
    </font>
    <font>
      <b/>
      <i/>
      <sz val="12.0"/>
      <color rgb="FFFFFFFF"/>
      <name val="Lato"/>
    </font>
    <font>
      <sz val="12.0"/>
      <color rgb="FFFFFFFF"/>
      <name val="Lato"/>
    </font>
    <font>
      <i/>
      <sz val="11.0"/>
      <color rgb="FFFFFFFF"/>
      <name val="Lato"/>
    </font>
    <font>
      <b/>
      <sz val="12.0"/>
      <color rgb="FF1A97A8"/>
      <name val="Lato"/>
    </font>
    <font>
      <b/>
      <i/>
      <sz val="12.0"/>
      <color rgb="FF0000FF"/>
      <name val="Lato"/>
    </font>
    <font>
      <sz val="11.0"/>
      <color rgb="FFFFFFFF"/>
      <name val="Lato"/>
    </font>
    <font>
      <sz val="20.0"/>
      <color rgb="FF1A97A8"/>
      <name val="Lato"/>
    </font>
    <font>
      <b/>
      <sz val="12.0"/>
      <color rgb="FF0000FF"/>
      <name val="Lato"/>
    </font>
    <font>
      <b/>
      <sz val="12.0"/>
      <color rgb="FFFF0000"/>
      <name val="Lato"/>
    </font>
    <font>
      <b/>
      <color rgb="FFFF0000"/>
    </font>
    <font>
      <b/>
      <sz val="12.0"/>
      <color rgb="FF008E40"/>
      <name val="Lato"/>
    </font>
    <font>
      <b/>
      <color rgb="FF008E40"/>
    </font>
    <font>
      <b/>
      <sz val="12.0"/>
      <color rgb="FFBF9000"/>
      <name val="Lato"/>
    </font>
    <font>
      <b/>
      <color rgb="FFBF9000"/>
    </font>
    <font>
      <sz val="11.0"/>
      <name val="Lato"/>
    </font>
    <font>
      <sz val="10.0"/>
      <name val="Arial"/>
    </font>
    <font>
      <sz val="11.0"/>
      <color rgb="FF999999"/>
      <name val="Lato"/>
    </font>
    <font>
      <sz val="11.0"/>
      <color rgb="FF000000"/>
      <name val="Calibri"/>
    </font>
    <font>
      <sz val="11.0"/>
      <name val="Arial"/>
    </font>
    <font>
      <sz val="11.0"/>
      <color rgb="FF000000"/>
      <name val="Arial"/>
    </font>
    <font>
      <name val="Arial"/>
    </font>
    <font>
      <sz val="12.0"/>
      <name val="Calibri"/>
    </font>
    <font>
      <sz val="12.0"/>
      <color rgb="FF000000"/>
      <name val="Calibri"/>
    </font>
    <font>
      <b/>
      <sz val="30.0"/>
      <color rgb="FFFFFF00"/>
      <name val="Lato"/>
    </font>
    <font>
      <b/>
      <sz val="15.0"/>
      <color rgb="FF000000"/>
      <name val="Lato"/>
    </font>
    <font>
      <b/>
      <color rgb="FFFFFFFF"/>
      <name val="Lato"/>
    </font>
    <font>
      <sz val="9.0"/>
      <name val="Lato"/>
    </font>
    <font>
      <sz val="9.0"/>
      <color rgb="FF000000"/>
      <name val="Lato"/>
    </font>
    <font>
      <b/>
      <color rgb="FF000000"/>
      <name val="Lato"/>
    </font>
    <font>
      <b/>
      <name val="Lato"/>
    </font>
    <font>
      <color rgb="FFFFFFFF"/>
      <name val="Lato"/>
    </font>
    <font>
      <name val="Lato"/>
    </font>
    <font>
      <color rgb="FF000000"/>
      <name val="Lato"/>
    </font>
    <font>
      <b/>
      <sz val="10.0"/>
      <color rgb="FFFFFFFF"/>
      <name val="Lato"/>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00B0F0"/>
        <bgColor rgb="FF00B0F0"/>
      </patternFill>
    </fill>
    <fill>
      <patternFill patternType="solid">
        <fgColor rgb="FF272828"/>
        <bgColor rgb="FF272828"/>
      </patternFill>
    </fill>
    <fill>
      <patternFill patternType="solid">
        <fgColor rgb="FFCFE2F3"/>
        <bgColor rgb="FFCFE2F3"/>
      </patternFill>
    </fill>
    <fill>
      <patternFill patternType="solid">
        <fgColor rgb="FFFF0000"/>
        <bgColor rgb="FFFF0000"/>
      </patternFill>
    </fill>
    <fill>
      <patternFill patternType="solid">
        <fgColor rgb="FFF2F2F2"/>
        <bgColor rgb="FFF2F2F2"/>
      </patternFill>
    </fill>
    <fill>
      <patternFill patternType="solid">
        <fgColor rgb="FFFFFF00"/>
        <bgColor rgb="FFFFFF00"/>
      </patternFill>
    </fill>
    <fill>
      <patternFill patternType="solid">
        <fgColor rgb="FFF3F3F3"/>
        <bgColor rgb="FFF3F3F3"/>
      </patternFill>
    </fill>
    <fill>
      <patternFill patternType="solid">
        <fgColor rgb="FF0071BA"/>
        <bgColor rgb="FF0071BA"/>
      </patternFill>
    </fill>
    <fill>
      <patternFill patternType="solid">
        <fgColor rgb="FFD8D8D8"/>
        <bgColor rgb="FFD8D8D8"/>
      </patternFill>
    </fill>
    <fill>
      <patternFill patternType="solid">
        <fgColor rgb="FF78909C"/>
        <bgColor rgb="FF78909C"/>
      </patternFill>
    </fill>
    <fill>
      <patternFill patternType="solid">
        <fgColor rgb="FFEBEFF1"/>
        <bgColor rgb="FFEBEFF1"/>
      </patternFill>
    </fill>
    <fill>
      <patternFill patternType="solid">
        <fgColor rgb="FF000000"/>
        <bgColor rgb="FF000000"/>
      </patternFill>
    </fill>
    <fill>
      <patternFill patternType="solid">
        <fgColor rgb="FFEFEFEF"/>
        <bgColor rgb="FFEFEFEF"/>
      </patternFill>
    </fill>
    <fill>
      <patternFill patternType="solid">
        <fgColor rgb="FF1A97A8"/>
        <bgColor rgb="FF1A97A8"/>
      </patternFill>
    </fill>
    <fill>
      <patternFill patternType="solid">
        <fgColor rgb="FFCCCCCC"/>
        <bgColor rgb="FFCCCCCC"/>
      </patternFill>
    </fill>
    <fill>
      <patternFill patternType="solid">
        <fgColor rgb="FF136E7B"/>
        <bgColor rgb="FF136E7B"/>
      </patternFill>
    </fill>
  </fills>
  <borders count="47">
    <border/>
    <border>
      <right/>
      <top/>
      <bottom/>
    </border>
    <border>
      <left/>
      <right/>
      <top/>
      <bottom/>
    </border>
    <border>
      <left/>
      <right/>
      <top/>
    </border>
    <border>
      <left/>
      <top/>
    </border>
    <border>
      <top/>
    </border>
    <border>
      <right/>
      <top/>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right/>
      <bottom/>
    </border>
    <border>
      <left/>
      <top/>
      <bottom/>
    </border>
    <border>
      <top style="dotted">
        <color rgb="FFAEABAB"/>
      </top>
      <bottom/>
    </border>
    <border>
      <top/>
      <bottom/>
    </border>
    <border>
      <bottom/>
    </border>
    <border>
      <left/>
      <right/>
      <bottom/>
    </border>
    <border>
      <left/>
      <bottom/>
    </border>
    <border>
      <right/>
    </border>
    <border>
      <left/>
      <right/>
    </border>
    <border>
      <right/>
      <top/>
      <bottom style="dotted">
        <color rgb="FF999999"/>
      </bottom>
    </border>
    <border>
      <left/>
      <right/>
      <top/>
      <bottom style="dotted">
        <color rgb="FFAEABAB"/>
      </bottom>
    </border>
    <border>
      <left/>
      <bottom style="thin">
        <color rgb="FF000000"/>
      </bottom>
    </border>
    <border>
      <bottom style="thin">
        <color rgb="FF000000"/>
      </bottom>
    </border>
    <border>
      <left/>
    </border>
    <border>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right style="thin">
        <color rgb="FF000000"/>
      </right>
      <top style="thin">
        <color rgb="FF000000"/>
      </top>
      <bottom/>
    </border>
    <border>
      <right style="thin">
        <color rgb="FF000000"/>
      </right>
      <top style="thin">
        <color rgb="FF000000"/>
      </top>
    </border>
    <border>
      <left style="thin">
        <color rgb="FF000000"/>
      </left>
      <top style="thin">
        <color rgb="FF000000"/>
      </top>
    </border>
    <border>
      <top style="thin">
        <color rgb="FF000000"/>
      </top>
    </border>
    <border>
      <right style="thin">
        <color rgb="FF000000"/>
      </right>
      <top/>
      <bottom/>
    </border>
    <border>
      <right/>
      <top style="thin">
        <color rgb="FF000000"/>
      </top>
      <bottom/>
    </border>
    <border>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border>
    <border>
      <right style="thin">
        <color rgb="FF000000"/>
      </right>
      <bottom/>
    </border>
    <border>
      <left style="thin">
        <color rgb="FF000000"/>
      </left>
      <right style="thin">
        <color rgb="FF000000"/>
      </right>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5">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center"/>
    </xf>
    <xf borderId="1" fillId="2" fontId="1" numFmtId="0" xfId="0" applyBorder="1" applyFont="1"/>
    <xf borderId="2" fillId="2" fontId="1" numFmtId="0" xfId="0" applyBorder="1" applyFont="1"/>
    <xf borderId="3" fillId="2" fontId="1" numFmtId="0" xfId="0" applyBorder="1" applyFont="1"/>
    <xf borderId="4" fillId="2" fontId="2" numFmtId="0" xfId="0" applyAlignment="1" applyBorder="1" applyFont="1">
      <alignment horizontal="center" readingOrder="0" vertical="center"/>
    </xf>
    <xf borderId="5" fillId="0" fontId="3" numFmtId="0" xfId="0" applyBorder="1" applyFont="1"/>
    <xf borderId="0" fillId="2" fontId="1" numFmtId="0" xfId="0" applyFont="1"/>
    <xf borderId="0" fillId="2" fontId="1" numFmtId="164" xfId="0" applyFont="1" applyNumberFormat="1"/>
    <xf borderId="0" fillId="0" fontId="3" numFmtId="165" xfId="0" applyFont="1" applyNumberFormat="1"/>
    <xf borderId="0" fillId="2" fontId="1" numFmtId="165" xfId="0" applyFont="1" applyNumberFormat="1"/>
    <xf borderId="0" fillId="2" fontId="1" numFmtId="164" xfId="0" applyAlignment="1" applyFont="1" applyNumberFormat="1">
      <alignment horizontal="center" vertical="center"/>
    </xf>
    <xf borderId="6" fillId="2" fontId="1" numFmtId="0" xfId="0" applyBorder="1" applyFont="1"/>
    <xf borderId="4" fillId="2" fontId="1" numFmtId="0" xfId="0" applyBorder="1" applyFont="1"/>
    <xf borderId="7" fillId="3" fontId="4" numFmtId="0" xfId="0" applyAlignment="1" applyBorder="1" applyFill="1" applyFont="1">
      <alignment horizontal="center" vertical="center"/>
    </xf>
    <xf borderId="8" fillId="0" fontId="3" numFmtId="0" xfId="0" applyBorder="1" applyFont="1"/>
    <xf borderId="9" fillId="0" fontId="3" numFmtId="0" xfId="0" applyBorder="1" applyFont="1"/>
    <xf borderId="0" fillId="2" fontId="5" numFmtId="0" xfId="0" applyAlignment="1" applyFont="1">
      <alignment readingOrder="0" vertical="center"/>
    </xf>
    <xf borderId="0" fillId="0" fontId="6" numFmtId="0" xfId="0" applyAlignment="1" applyFont="1">
      <alignment readingOrder="0" vertical="center"/>
    </xf>
    <xf borderId="0" fillId="0" fontId="7" numFmtId="0" xfId="0" applyAlignment="1" applyFont="1">
      <alignment readingOrder="0"/>
    </xf>
    <xf borderId="0" fillId="0" fontId="8" numFmtId="166" xfId="0" applyFont="1" applyNumberFormat="1"/>
    <xf borderId="0" fillId="2" fontId="9" numFmtId="0" xfId="0" applyAlignment="1" applyFont="1">
      <alignment readingOrder="0"/>
    </xf>
    <xf borderId="0" fillId="2" fontId="1" numFmtId="0" xfId="0" applyAlignment="1" applyFont="1">
      <alignment readingOrder="0"/>
    </xf>
    <xf borderId="10" fillId="2" fontId="10" numFmtId="0" xfId="0" applyBorder="1" applyFont="1"/>
    <xf borderId="11" fillId="2" fontId="10" numFmtId="0" xfId="0" applyBorder="1" applyFont="1"/>
    <xf borderId="12" fillId="2" fontId="11" numFmtId="0" xfId="0" applyAlignment="1" applyBorder="1" applyFont="1">
      <alignment horizontal="left" readingOrder="0" vertical="center"/>
    </xf>
    <xf borderId="12" fillId="0" fontId="3" numFmtId="0" xfId="0" applyBorder="1" applyFont="1"/>
    <xf borderId="11" fillId="3" fontId="12" numFmtId="0" xfId="0" applyAlignment="1" applyBorder="1" applyFont="1">
      <alignment horizontal="center" readingOrder="0" vertical="center"/>
    </xf>
    <xf borderId="13" fillId="0" fontId="3" numFmtId="0" xfId="0" applyBorder="1" applyFont="1"/>
    <xf borderId="0" fillId="2" fontId="13" numFmtId="0" xfId="0" applyAlignment="1" applyFont="1">
      <alignment horizontal="left" readingOrder="0" shrinkToFit="0" vertical="center" wrapText="1"/>
    </xf>
    <xf borderId="14" fillId="2" fontId="13" numFmtId="0" xfId="0" applyAlignment="1" applyBorder="1" applyFont="1">
      <alignment horizontal="left" readingOrder="0" shrinkToFit="0" vertical="center" wrapText="1"/>
    </xf>
    <xf borderId="0" fillId="2" fontId="10" numFmtId="0" xfId="0" applyFont="1"/>
    <xf borderId="0" fillId="2" fontId="10" numFmtId="164" xfId="0" applyFont="1" applyNumberFormat="1"/>
    <xf borderId="2" fillId="4" fontId="14" numFmtId="0" xfId="0" applyAlignment="1" applyBorder="1" applyFill="1" applyFont="1">
      <alignment vertical="bottom"/>
    </xf>
    <xf borderId="1" fillId="4" fontId="14" numFmtId="0" xfId="0" applyAlignment="1" applyBorder="1" applyFont="1">
      <alignment vertical="bottom"/>
    </xf>
    <xf borderId="0" fillId="2" fontId="10" numFmtId="165" xfId="0" applyFont="1" applyNumberFormat="1"/>
    <xf borderId="14" fillId="5" fontId="15" numFmtId="0" xfId="0" applyAlignment="1" applyBorder="1" applyFill="1" applyFont="1">
      <alignment horizontal="center" vertical="center"/>
    </xf>
    <xf borderId="14" fillId="0" fontId="3" numFmtId="0" xfId="0" applyBorder="1" applyFont="1"/>
    <xf borderId="1" fillId="2" fontId="1" numFmtId="0" xfId="0" applyAlignment="1" applyBorder="1" applyFont="1">
      <alignment horizontal="left" readingOrder="0"/>
    </xf>
    <xf borderId="15" fillId="4" fontId="14" numFmtId="0" xfId="0" applyAlignment="1" applyBorder="1" applyFont="1">
      <alignment vertical="bottom"/>
    </xf>
    <xf borderId="13" fillId="2" fontId="1" numFmtId="0" xfId="0" applyAlignment="1" applyBorder="1" applyFont="1">
      <alignment horizontal="left" vertical="center"/>
    </xf>
    <xf borderId="2" fillId="3" fontId="16" numFmtId="0" xfId="0" applyAlignment="1" applyBorder="1" applyFont="1">
      <alignment horizontal="center" readingOrder="0" vertical="center"/>
    </xf>
    <xf borderId="1" fillId="2" fontId="17" numFmtId="0" xfId="0" applyAlignment="1" applyBorder="1" applyFont="1">
      <alignment horizontal="left" readingOrder="0"/>
    </xf>
    <xf borderId="0" fillId="6" fontId="1" numFmtId="0" xfId="0" applyFill="1" applyFont="1"/>
    <xf borderId="0" fillId="6" fontId="3" numFmtId="165" xfId="0" applyFont="1" applyNumberFormat="1"/>
    <xf borderId="0" fillId="6" fontId="1" numFmtId="165" xfId="0" applyFont="1" applyNumberFormat="1"/>
    <xf borderId="11" fillId="3" fontId="16" numFmtId="167" xfId="0" applyAlignment="1" applyBorder="1" applyFont="1" applyNumberFormat="1">
      <alignment horizontal="center" readingOrder="0"/>
    </xf>
    <xf borderId="1" fillId="0" fontId="3" numFmtId="0" xfId="0" applyBorder="1" applyFont="1"/>
    <xf borderId="0" fillId="2" fontId="18" numFmtId="0" xfId="0" applyFont="1"/>
    <xf borderId="13" fillId="2" fontId="4" numFmtId="0" xfId="0" applyAlignment="1" applyBorder="1" applyFont="1">
      <alignment horizontal="center" readingOrder="0" vertical="center"/>
    </xf>
    <xf borderId="2" fillId="2" fontId="1" numFmtId="0" xfId="0" applyAlignment="1" applyBorder="1" applyFont="1">
      <alignment horizontal="left"/>
    </xf>
    <xf borderId="2" fillId="3" fontId="16" numFmtId="0" xfId="0" applyAlignment="1" applyBorder="1" applyFont="1">
      <alignment horizontal="center" readingOrder="0" vertical="bottom"/>
    </xf>
    <xf borderId="10" fillId="2" fontId="18" numFmtId="0" xfId="0" applyBorder="1" applyFont="1"/>
    <xf borderId="15" fillId="4" fontId="14" numFmtId="1" xfId="0" applyAlignment="1" applyBorder="1" applyFont="1" applyNumberFormat="1">
      <alignment vertical="bottom"/>
    </xf>
    <xf borderId="10" fillId="4" fontId="14" numFmtId="1" xfId="0" applyAlignment="1" applyBorder="1" applyFont="1" applyNumberFormat="1">
      <alignment vertical="bottom"/>
    </xf>
    <xf borderId="0" fillId="6" fontId="3" numFmtId="0" xfId="0" applyFont="1"/>
    <xf borderId="0" fillId="6" fontId="1" numFmtId="0" xfId="0" applyAlignment="1" applyFont="1">
      <alignment readingOrder="0"/>
    </xf>
    <xf borderId="2" fillId="2" fontId="1" numFmtId="0" xfId="0" applyAlignment="1" applyBorder="1" applyFont="1">
      <alignment horizontal="right" readingOrder="0"/>
    </xf>
    <xf borderId="15" fillId="3" fontId="16" numFmtId="0" xfId="0" applyAlignment="1" applyBorder="1" applyFont="1">
      <alignment horizontal="center" readingOrder="0" vertical="bottom"/>
    </xf>
    <xf borderId="11" fillId="2" fontId="1" numFmtId="0" xfId="0" applyBorder="1" applyFont="1"/>
    <xf borderId="4" fillId="0" fontId="1" numFmtId="0" xfId="0" applyBorder="1" applyFont="1"/>
    <xf borderId="0" fillId="0" fontId="3" numFmtId="0" xfId="0" applyAlignment="1" applyFont="1">
      <alignment readingOrder="0"/>
    </xf>
    <xf borderId="1" fillId="2" fontId="1" numFmtId="0" xfId="0" applyAlignment="1" applyBorder="1" applyFont="1">
      <alignment readingOrder="0" vertical="center"/>
    </xf>
    <xf borderId="15" fillId="2" fontId="19" numFmtId="0" xfId="0" applyAlignment="1" applyBorder="1" applyFont="1">
      <alignment horizontal="left" vertical="center"/>
    </xf>
    <xf borderId="16" fillId="0" fontId="3" numFmtId="0" xfId="0" applyBorder="1" applyFont="1"/>
    <xf borderId="0" fillId="7" fontId="20" numFmtId="0" xfId="0" applyAlignment="1" applyFill="1" applyFont="1">
      <alignment horizontal="center" shrinkToFit="0" vertical="center" wrapText="1"/>
    </xf>
    <xf borderId="17" fillId="0" fontId="3" numFmtId="0" xfId="0" applyBorder="1" applyFont="1"/>
    <xf borderId="0" fillId="0" fontId="3" numFmtId="0" xfId="0" applyAlignment="1" applyFont="1">
      <alignment shrinkToFit="0" wrapText="0"/>
    </xf>
    <xf borderId="0" fillId="2" fontId="21" numFmtId="164" xfId="0" applyAlignment="1" applyFont="1" applyNumberFormat="1">
      <alignment horizontal="center" vertical="center"/>
    </xf>
    <xf borderId="10" fillId="0" fontId="3" numFmtId="0" xfId="0" applyBorder="1" applyFont="1"/>
    <xf borderId="11" fillId="2" fontId="21" numFmtId="0" xfId="0" applyBorder="1" applyFont="1"/>
    <xf borderId="5" fillId="2" fontId="22" numFmtId="0" xfId="0" applyAlignment="1" applyBorder="1" applyFont="1">
      <alignment readingOrder="0" shrinkToFit="0" vertical="top" wrapText="1"/>
    </xf>
    <xf borderId="17" fillId="2" fontId="13" numFmtId="0" xfId="0" applyAlignment="1" applyBorder="1" applyFont="1">
      <alignment horizontal="left" readingOrder="0" shrinkToFit="0" vertical="center" wrapText="1"/>
    </xf>
    <xf borderId="0" fillId="2" fontId="1" numFmtId="0" xfId="0" applyAlignment="1" applyFont="1">
      <alignment horizontal="left"/>
    </xf>
    <xf borderId="0" fillId="3" fontId="16" numFmtId="0" xfId="0" applyAlignment="1" applyFont="1">
      <alignment horizontal="center" readingOrder="0" vertical="center"/>
    </xf>
    <xf borderId="0" fillId="2" fontId="23" numFmtId="0" xfId="0" applyAlignment="1" applyFont="1">
      <alignment horizontal="center" vertical="center"/>
    </xf>
    <xf borderId="0" fillId="6" fontId="16" numFmtId="0" xfId="0" applyAlignment="1" applyFont="1">
      <alignment readingOrder="0"/>
    </xf>
    <xf borderId="6" fillId="2" fontId="21" numFmtId="0" xfId="0" applyAlignment="1" applyBorder="1" applyFont="1">
      <alignment horizontal="left"/>
    </xf>
    <xf borderId="3" fillId="2" fontId="21" numFmtId="0" xfId="0" applyAlignment="1" applyBorder="1" applyFont="1">
      <alignment horizontal="left"/>
    </xf>
    <xf borderId="18" fillId="2" fontId="15" numFmtId="0" xfId="0" applyAlignment="1" applyBorder="1" applyFont="1">
      <alignment horizontal="center" readingOrder="0" vertical="bottom"/>
    </xf>
    <xf borderId="17" fillId="2" fontId="15" numFmtId="0" xfId="0" applyBorder="1" applyFont="1"/>
    <xf borderId="10" fillId="2" fontId="16" numFmtId="0" xfId="0" applyAlignment="1" applyBorder="1" applyFont="1">
      <alignment readingOrder="0" vertical="center"/>
    </xf>
    <xf borderId="0" fillId="8" fontId="12" numFmtId="2" xfId="0" applyAlignment="1" applyFill="1" applyFont="1" applyNumberFormat="1">
      <alignment horizontal="center" readingOrder="0" vertical="center"/>
    </xf>
    <xf borderId="10" fillId="2" fontId="13" numFmtId="0" xfId="0" applyAlignment="1" applyBorder="1" applyFont="1">
      <alignment horizontal="left" readingOrder="0" shrinkToFit="0" vertical="center" wrapText="1"/>
    </xf>
    <xf borderId="12" fillId="2" fontId="11" numFmtId="0" xfId="0" applyAlignment="1" applyBorder="1" applyFont="1">
      <alignment horizontal="left" readingOrder="0" vertical="bottom"/>
    </xf>
    <xf borderId="11" fillId="3" fontId="12" numFmtId="0" xfId="0" applyAlignment="1" applyBorder="1" applyFont="1">
      <alignment horizontal="center" readingOrder="0" vertical="bottom"/>
    </xf>
    <xf borderId="2" fillId="2" fontId="19" numFmtId="0" xfId="0" applyAlignment="1" applyBorder="1" applyFont="1">
      <alignment horizontal="left" vertical="bottom"/>
    </xf>
    <xf borderId="0" fillId="9" fontId="24" numFmtId="0" xfId="0" applyAlignment="1" applyFill="1" applyFont="1">
      <alignment horizontal="left" readingOrder="0" shrinkToFit="0" vertical="center" wrapText="1"/>
    </xf>
    <xf borderId="2" fillId="2" fontId="23" numFmtId="0" xfId="0" applyAlignment="1" applyBorder="1" applyFont="1">
      <alignment horizontal="center" vertical="center"/>
    </xf>
    <xf borderId="2" fillId="2" fontId="19" numFmtId="0" xfId="0" applyAlignment="1" applyBorder="1" applyFont="1">
      <alignment horizontal="left" vertical="center"/>
    </xf>
    <xf borderId="0" fillId="4" fontId="3" numFmtId="0" xfId="0" applyAlignment="1" applyFont="1">
      <alignment readingOrder="0"/>
    </xf>
    <xf borderId="0" fillId="4" fontId="3" numFmtId="0" xfId="0" applyFont="1"/>
    <xf borderId="0" fillId="6" fontId="1" numFmtId="1" xfId="0" applyFont="1" applyNumberFormat="1"/>
    <xf borderId="2" fillId="2" fontId="1" numFmtId="0" xfId="0" applyAlignment="1" applyBorder="1" applyFont="1">
      <alignment vertical="center"/>
    </xf>
    <xf borderId="2" fillId="2" fontId="1" numFmtId="0" xfId="0" applyAlignment="1" applyBorder="1" applyFont="1">
      <alignment horizontal="center" vertical="center"/>
    </xf>
    <xf borderId="2" fillId="3" fontId="12" numFmtId="0" xfId="0" applyAlignment="1" applyBorder="1" applyFont="1">
      <alignment horizontal="center" readingOrder="0" vertical="bottom"/>
    </xf>
    <xf borderId="2" fillId="2" fontId="18" numFmtId="0" xfId="0" applyBorder="1" applyFont="1"/>
    <xf borderId="0" fillId="2" fontId="9" numFmtId="0" xfId="0" applyFont="1"/>
    <xf borderId="0" fillId="4" fontId="1" numFmtId="0" xfId="0" applyAlignment="1" applyFont="1">
      <alignment readingOrder="0"/>
    </xf>
    <xf borderId="0" fillId="4" fontId="1" numFmtId="0" xfId="0" applyFont="1"/>
    <xf borderId="0" fillId="6" fontId="1" numFmtId="164" xfId="0" applyFont="1" applyNumberFormat="1"/>
    <xf borderId="15" fillId="3" fontId="12" numFmtId="0" xfId="0" applyAlignment="1" applyBorder="1" applyFont="1">
      <alignment horizontal="center" readingOrder="0" vertical="bottom"/>
    </xf>
    <xf borderId="5" fillId="2" fontId="1" numFmtId="0" xfId="0" applyAlignment="1" applyBorder="1" applyFont="1">
      <alignment readingOrder="0" shrinkToFit="0" vertical="center" wrapText="1"/>
    </xf>
    <xf borderId="6" fillId="0" fontId="3" numFmtId="0" xfId="0" applyBorder="1" applyFont="1"/>
    <xf borderId="18" fillId="3" fontId="16" numFmtId="0" xfId="0" applyAlignment="1" applyBorder="1" applyFont="1">
      <alignment horizontal="center" readingOrder="0" vertical="bottom"/>
    </xf>
    <xf borderId="5" fillId="2" fontId="22" numFmtId="0" xfId="0" applyAlignment="1" applyBorder="1" applyFont="1">
      <alignment readingOrder="0" shrinkToFit="0" vertical="top" wrapText="0"/>
    </xf>
    <xf borderId="5" fillId="2" fontId="25" numFmtId="0" xfId="0" applyAlignment="1" applyBorder="1" applyFont="1">
      <alignment readingOrder="0" shrinkToFit="0" vertical="top" wrapText="1"/>
    </xf>
    <xf borderId="6" fillId="2" fontId="25" numFmtId="0" xfId="0" applyAlignment="1" applyBorder="1" applyFont="1">
      <alignment readingOrder="0" shrinkToFit="0" vertical="top" wrapText="1"/>
    </xf>
    <xf borderId="0" fillId="4" fontId="9" numFmtId="0" xfId="0" applyFont="1"/>
    <xf borderId="14" fillId="2" fontId="25" numFmtId="0" xfId="0" applyAlignment="1" applyBorder="1" applyFont="1">
      <alignment readingOrder="0" shrinkToFit="0" vertical="top" wrapText="1"/>
    </xf>
    <xf borderId="10" fillId="2" fontId="25" numFmtId="0" xfId="0" applyAlignment="1" applyBorder="1" applyFont="1">
      <alignment readingOrder="0" shrinkToFit="0" vertical="top" wrapText="1"/>
    </xf>
    <xf borderId="19" fillId="2" fontId="1" numFmtId="0" xfId="0" applyAlignment="1" applyBorder="1" applyFont="1">
      <alignment vertical="center"/>
    </xf>
    <xf borderId="20" fillId="2" fontId="16" numFmtId="0" xfId="0" applyAlignment="1" applyBorder="1" applyFont="1">
      <alignment vertical="center"/>
    </xf>
    <xf borderId="20" fillId="2" fontId="16" numFmtId="0" xfId="0" applyAlignment="1" applyBorder="1" applyFont="1">
      <alignment horizontal="left" vertical="center"/>
    </xf>
    <xf borderId="20" fillId="3" fontId="12" numFmtId="3" xfId="0" applyAlignment="1" applyBorder="1" applyFont="1" applyNumberFormat="1">
      <alignment horizontal="center" readingOrder="0" vertical="center"/>
    </xf>
    <xf borderId="3" fillId="2" fontId="23" numFmtId="0" xfId="0" applyBorder="1" applyFont="1"/>
    <xf borderId="0" fillId="2" fontId="5" numFmtId="0" xfId="0" applyAlignment="1" applyFont="1">
      <alignment readingOrder="0" vertical="top"/>
    </xf>
    <xf borderId="0" fillId="0" fontId="3" numFmtId="0" xfId="0" applyAlignment="1" applyFont="1">
      <alignment horizontal="center" vertical="center"/>
    </xf>
    <xf borderId="0" fillId="8" fontId="12" numFmtId="164" xfId="0" applyAlignment="1" applyFont="1" applyNumberFormat="1">
      <alignment horizontal="center" readingOrder="0" vertical="center"/>
    </xf>
    <xf borderId="0" fillId="2" fontId="18" numFmtId="0" xfId="0" applyAlignment="1" applyFont="1">
      <alignment readingOrder="0"/>
    </xf>
    <xf borderId="0" fillId="2" fontId="1" numFmtId="0" xfId="0" applyAlignment="1" applyFont="1">
      <alignment horizontal="right"/>
    </xf>
    <xf borderId="0" fillId="2" fontId="20" numFmtId="0" xfId="0" applyAlignment="1" applyFont="1">
      <alignment horizontal="center" shrinkToFit="0" vertical="center" wrapText="1"/>
    </xf>
    <xf borderId="16" fillId="5" fontId="15" numFmtId="0" xfId="0" applyAlignment="1" applyBorder="1" applyFont="1">
      <alignment horizontal="left" vertical="center"/>
    </xf>
    <xf borderId="15" fillId="8" fontId="12" numFmtId="3" xfId="0" applyAlignment="1" applyBorder="1" applyFont="1" applyNumberFormat="1">
      <alignment horizontal="center" vertical="center"/>
    </xf>
    <xf borderId="15" fillId="2" fontId="18" numFmtId="0" xfId="0" applyAlignment="1" applyBorder="1" applyFont="1">
      <alignment horizontal="left" vertical="center"/>
    </xf>
    <xf borderId="0" fillId="0" fontId="23" numFmtId="0" xfId="0" applyAlignment="1" applyFont="1">
      <alignment horizontal="center" vertical="center"/>
    </xf>
    <xf borderId="11" fillId="2" fontId="16" numFmtId="0" xfId="0" applyAlignment="1" applyBorder="1" applyFont="1">
      <alignment horizontal="center" vertical="center"/>
    </xf>
    <xf borderId="0" fillId="0" fontId="15" numFmtId="0" xfId="0" applyAlignment="1" applyFont="1">
      <alignment horizontal="left"/>
    </xf>
    <xf borderId="0" fillId="2" fontId="1" numFmtId="1" xfId="0" applyFont="1" applyNumberFormat="1"/>
    <xf borderId="2" fillId="2" fontId="15" numFmtId="0" xfId="0" applyAlignment="1" applyBorder="1" applyFont="1">
      <alignment horizontal="center"/>
    </xf>
    <xf borderId="2" fillId="2" fontId="15" numFmtId="0" xfId="0" applyAlignment="1" applyBorder="1" applyFont="1">
      <alignment horizontal="left"/>
    </xf>
    <xf borderId="2" fillId="2" fontId="18" numFmtId="0" xfId="0" applyAlignment="1" applyBorder="1" applyFont="1">
      <alignment horizontal="center"/>
    </xf>
    <xf borderId="13" fillId="2" fontId="4" numFmtId="0" xfId="0" applyAlignment="1" applyBorder="1" applyFont="1">
      <alignment horizontal="center" vertical="center"/>
    </xf>
    <xf borderId="0" fillId="0" fontId="8" numFmtId="166" xfId="0" applyAlignment="1" applyFont="1" applyNumberFormat="1">
      <alignment horizontal="center"/>
    </xf>
    <xf borderId="11" fillId="5" fontId="15" numFmtId="0" xfId="0" applyAlignment="1" applyBorder="1" applyFont="1">
      <alignment horizontal="left" vertical="center"/>
    </xf>
    <xf borderId="2" fillId="8" fontId="12" numFmtId="3" xfId="0" applyAlignment="1" applyBorder="1" applyFont="1" applyNumberFormat="1">
      <alignment horizontal="center" vertical="center"/>
    </xf>
    <xf borderId="2" fillId="2" fontId="18" numFmtId="0" xfId="0" applyAlignment="1" applyBorder="1" applyFont="1">
      <alignment horizontal="left" vertical="center"/>
    </xf>
    <xf borderId="4" fillId="2" fontId="1" numFmtId="0" xfId="0" applyAlignment="1" applyBorder="1" applyFont="1">
      <alignment horizontal="center" vertical="center"/>
    </xf>
    <xf borderId="0" fillId="0" fontId="1" numFmtId="0" xfId="0" applyFont="1"/>
    <xf borderId="0" fillId="6" fontId="1" numFmtId="1" xfId="0" applyAlignment="1" applyFont="1" applyNumberFormat="1">
      <alignment readingOrder="0"/>
    </xf>
    <xf borderId="3" fillId="2" fontId="15" numFmtId="0" xfId="0" applyAlignment="1" applyBorder="1" applyFont="1">
      <alignment horizontal="left" vertical="center"/>
    </xf>
    <xf borderId="3" fillId="2" fontId="12" numFmtId="0" xfId="0" applyAlignment="1" applyBorder="1" applyFont="1">
      <alignment horizontal="center" vertical="center"/>
    </xf>
    <xf borderId="3" fillId="2" fontId="23" numFmtId="0" xfId="0" applyAlignment="1" applyBorder="1" applyFont="1">
      <alignment horizontal="center" vertical="center"/>
    </xf>
    <xf borderId="0" fillId="2" fontId="20" numFmtId="0" xfId="0" applyAlignment="1" applyFont="1">
      <alignment readingOrder="0" shrinkToFit="0" vertical="center" wrapText="1"/>
    </xf>
    <xf borderId="5" fillId="2" fontId="26" numFmtId="0" xfId="0" applyAlignment="1" applyBorder="1" applyFont="1">
      <alignment horizontal="left" vertical="top"/>
    </xf>
    <xf borderId="21" fillId="10" fontId="16" numFmtId="0" xfId="0" applyAlignment="1" applyBorder="1" applyFill="1" applyFont="1">
      <alignment horizontal="left" readingOrder="0" vertical="center"/>
    </xf>
    <xf borderId="22" fillId="10" fontId="16" numFmtId="0" xfId="0" applyAlignment="1" applyBorder="1" applyFont="1">
      <alignment horizontal="left" vertical="center"/>
    </xf>
    <xf borderId="14" fillId="10" fontId="16" numFmtId="0" xfId="0" applyAlignment="1" applyBorder="1" applyFont="1">
      <alignment horizontal="left" vertical="center"/>
    </xf>
    <xf borderId="14" fillId="2" fontId="16" numFmtId="0" xfId="0" applyAlignment="1" applyBorder="1" applyFont="1">
      <alignment horizontal="left" vertical="center"/>
    </xf>
    <xf borderId="0" fillId="2" fontId="3" numFmtId="0" xfId="0" applyFont="1"/>
    <xf borderId="0" fillId="2" fontId="3" numFmtId="0" xfId="0" applyAlignment="1" applyFont="1">
      <alignment horizontal="center" vertical="center"/>
    </xf>
    <xf borderId="16" fillId="2" fontId="8" numFmtId="0" xfId="0" applyAlignment="1" applyBorder="1" applyFont="1">
      <alignment horizontal="left" readingOrder="0" vertical="center"/>
    </xf>
    <xf borderId="2" fillId="2" fontId="12" numFmtId="3" xfId="0" applyAlignment="1" applyBorder="1" applyFont="1" applyNumberFormat="1">
      <alignment horizontal="center" vertical="center"/>
    </xf>
    <xf borderId="2" fillId="2" fontId="27" numFmtId="3" xfId="0" applyAlignment="1" applyBorder="1" applyFont="1" applyNumberFormat="1">
      <alignment horizontal="center" vertical="center"/>
    </xf>
    <xf borderId="2" fillId="2" fontId="27" numFmtId="0" xfId="0" applyAlignment="1" applyBorder="1" applyFont="1">
      <alignment horizontal="left" vertical="center"/>
    </xf>
    <xf borderId="11" fillId="2" fontId="1" numFmtId="0" xfId="0" applyAlignment="1" applyBorder="1" applyFont="1">
      <alignment horizontal="left" readingOrder="0" vertical="center"/>
    </xf>
    <xf borderId="2" fillId="2" fontId="28" numFmtId="3" xfId="0" applyAlignment="1" applyBorder="1" applyFont="1" applyNumberFormat="1">
      <alignment horizontal="center" vertical="center"/>
    </xf>
    <xf borderId="2" fillId="2" fontId="28" numFmtId="0" xfId="0" applyAlignment="1" applyBorder="1" applyFont="1">
      <alignment horizontal="left" vertical="center"/>
    </xf>
    <xf borderId="0" fillId="0" fontId="29" numFmtId="0" xfId="0" applyAlignment="1" applyFont="1">
      <alignment horizontal="center" vertical="center"/>
    </xf>
    <xf borderId="23" fillId="2" fontId="15" numFmtId="168" xfId="0" applyAlignment="1" applyBorder="1" applyFont="1" applyNumberFormat="1">
      <alignment shrinkToFit="0" vertical="center" wrapText="1"/>
    </xf>
    <xf borderId="2" fillId="2" fontId="30" numFmtId="3" xfId="0" applyAlignment="1" applyBorder="1" applyFont="1" applyNumberFormat="1">
      <alignment horizontal="center" vertical="center"/>
    </xf>
    <xf borderId="2" fillId="2" fontId="30" numFmtId="0" xfId="0" applyAlignment="1" applyBorder="1" applyFont="1">
      <alignment horizontal="left" vertical="center"/>
    </xf>
    <xf borderId="0" fillId="0" fontId="31" numFmtId="0" xfId="0" applyAlignment="1" applyFont="1">
      <alignment horizontal="center" vertical="center"/>
    </xf>
    <xf borderId="0" fillId="2" fontId="15" numFmtId="0" xfId="0" applyAlignment="1" applyFont="1">
      <alignment shrinkToFit="0" vertical="center" wrapText="1"/>
    </xf>
    <xf borderId="23" fillId="0" fontId="3" numFmtId="0" xfId="0" applyBorder="1" applyFont="1"/>
    <xf borderId="11" fillId="2" fontId="1" numFmtId="0" xfId="0" applyAlignment="1" applyBorder="1" applyFont="1">
      <alignment horizontal="left" readingOrder="0" vertical="top"/>
    </xf>
    <xf borderId="13" fillId="2" fontId="1" numFmtId="0" xfId="0" applyAlignment="1" applyBorder="1" applyFont="1">
      <alignment horizontal="left" readingOrder="0" vertical="center"/>
    </xf>
    <xf borderId="2" fillId="2" fontId="32" numFmtId="3" xfId="0" applyAlignment="1" applyBorder="1" applyFont="1" applyNumberFormat="1">
      <alignment horizontal="center" vertical="top"/>
    </xf>
    <xf borderId="2" fillId="2" fontId="32" numFmtId="0" xfId="0" applyAlignment="1" applyBorder="1" applyFont="1">
      <alignment horizontal="left" vertical="top"/>
    </xf>
    <xf borderId="0" fillId="0" fontId="33" numFmtId="0" xfId="0" applyAlignment="1" applyFont="1">
      <alignment horizontal="center" vertical="top"/>
    </xf>
    <xf borderId="5" fillId="2" fontId="15" numFmtId="0" xfId="0" applyAlignment="1" applyBorder="1" applyFont="1">
      <alignment shrinkToFit="0" vertical="center" wrapText="1"/>
    </xf>
    <xf borderId="0" fillId="2" fontId="15" numFmtId="168" xfId="0" applyAlignment="1" applyFont="1" applyNumberFormat="1">
      <alignment shrinkToFit="0" vertical="center" wrapText="1"/>
    </xf>
    <xf borderId="5" fillId="2" fontId="5" numFmtId="0" xfId="0" applyAlignment="1" applyBorder="1" applyFont="1">
      <alignment horizontal="left" readingOrder="0" vertical="top"/>
    </xf>
    <xf borderId="0" fillId="2" fontId="34" numFmtId="1" xfId="0" applyAlignment="1" applyFont="1" applyNumberFormat="1">
      <alignment horizontal="center" vertical="center"/>
    </xf>
    <xf borderId="0" fillId="2" fontId="34" numFmtId="164" xfId="0" applyAlignment="1" applyFont="1" applyNumberFormat="1">
      <alignment horizontal="center" vertical="center"/>
    </xf>
    <xf borderId="0" fillId="6" fontId="34" numFmtId="1" xfId="0" applyAlignment="1" applyFont="1" applyNumberFormat="1">
      <alignment horizontal="center" vertical="center"/>
    </xf>
    <xf borderId="0" fillId="6" fontId="34" numFmtId="165" xfId="0" applyAlignment="1" applyFont="1" applyNumberFormat="1">
      <alignment horizontal="center" vertical="center"/>
    </xf>
    <xf borderId="1" fillId="2" fontId="26" numFmtId="0" xfId="0" applyAlignment="1" applyBorder="1" applyFont="1">
      <alignment horizontal="left" vertical="top"/>
    </xf>
    <xf borderId="2" fillId="2" fontId="26" numFmtId="0" xfId="0" applyAlignment="1" applyBorder="1" applyFont="1">
      <alignment horizontal="left" vertical="top"/>
    </xf>
    <xf borderId="2" fillId="2" fontId="26" numFmtId="4" xfId="0" applyAlignment="1" applyBorder="1" applyFont="1" applyNumberFormat="1">
      <alignment horizontal="left" vertical="top"/>
    </xf>
    <xf borderId="0" fillId="4" fontId="14" numFmtId="1" xfId="0" applyAlignment="1" applyFont="1" applyNumberFormat="1">
      <alignment vertical="bottom"/>
    </xf>
    <xf borderId="2" fillId="4" fontId="14" numFmtId="1" xfId="0" applyAlignment="1" applyBorder="1" applyFont="1" applyNumberFormat="1">
      <alignment vertical="bottom"/>
    </xf>
    <xf borderId="1" fillId="4" fontId="14" numFmtId="1" xfId="0" applyAlignment="1" applyBorder="1" applyFont="1" applyNumberFormat="1">
      <alignment vertical="bottom"/>
    </xf>
    <xf borderId="2" fillId="4" fontId="14" numFmtId="164" xfId="0" applyAlignment="1" applyBorder="1" applyFont="1" applyNumberFormat="1">
      <alignment horizontal="left"/>
    </xf>
    <xf borderId="1" fillId="4" fontId="14" numFmtId="164" xfId="0" applyAlignment="1" applyBorder="1" applyFont="1" applyNumberFormat="1">
      <alignment vertical="bottom"/>
    </xf>
    <xf borderId="1" fillId="4" fontId="14" numFmtId="1" xfId="0" applyAlignment="1" applyBorder="1" applyFont="1" applyNumberFormat="1">
      <alignment readingOrder="0" vertical="bottom"/>
    </xf>
    <xf borderId="1" fillId="4" fontId="14" numFmtId="1" xfId="0" applyAlignment="1" applyBorder="1" applyFont="1" applyNumberFormat="1">
      <alignment shrinkToFit="0" vertical="bottom" wrapText="0"/>
    </xf>
    <xf borderId="1" fillId="4" fontId="14" numFmtId="1" xfId="0" applyBorder="1" applyFont="1" applyNumberFormat="1"/>
    <xf borderId="1" fillId="5" fontId="15" numFmtId="0" xfId="0" applyAlignment="1" applyBorder="1" applyFont="1">
      <alignment horizontal="center" vertical="center"/>
    </xf>
    <xf borderId="2" fillId="2" fontId="15" numFmtId="0" xfId="0" applyAlignment="1" applyBorder="1" applyFont="1">
      <alignment horizontal="center" vertical="center"/>
    </xf>
    <xf borderId="2" fillId="5" fontId="15" numFmtId="0" xfId="0" applyAlignment="1" applyBorder="1" applyFont="1">
      <alignment horizontal="center" vertical="center"/>
    </xf>
    <xf borderId="2" fillId="5" fontId="15" numFmtId="0" xfId="0" applyAlignment="1" applyBorder="1" applyFont="1">
      <alignment horizontal="center" readingOrder="0" shrinkToFit="0" vertical="center" wrapText="1"/>
    </xf>
    <xf borderId="11" fillId="5" fontId="15" numFmtId="0" xfId="0" applyAlignment="1" applyBorder="1" applyFont="1">
      <alignment horizontal="center" readingOrder="0" shrinkToFit="0" vertical="center" wrapText="1"/>
    </xf>
    <xf borderId="11" fillId="5" fontId="15" numFmtId="0" xfId="0" applyAlignment="1" applyBorder="1" applyFont="1">
      <alignment horizontal="center" shrinkToFit="0" vertical="center" wrapText="1"/>
    </xf>
    <xf borderId="2" fillId="2" fontId="15" numFmtId="0" xfId="0" applyAlignment="1" applyBorder="1" applyFont="1">
      <alignment horizontal="center" shrinkToFit="0" vertical="center" wrapText="1"/>
    </xf>
    <xf borderId="11" fillId="5" fontId="15" numFmtId="0" xfId="0" applyAlignment="1" applyBorder="1" applyFont="1">
      <alignment horizontal="center" vertical="center"/>
    </xf>
    <xf borderId="0" fillId="0" fontId="15" numFmtId="0" xfId="0" applyAlignment="1" applyFont="1">
      <alignment horizontal="center" vertical="center"/>
    </xf>
    <xf borderId="0" fillId="0" fontId="34" numFmtId="166" xfId="0" applyAlignment="1" applyFont="1" applyNumberFormat="1">
      <alignment horizontal="center" vertical="center"/>
    </xf>
    <xf borderId="10" fillId="4" fontId="14" numFmtId="164" xfId="0" applyAlignment="1" applyBorder="1" applyFont="1" applyNumberFormat="1">
      <alignment vertical="bottom"/>
    </xf>
    <xf borderId="10" fillId="4" fontId="14" numFmtId="1" xfId="0" applyBorder="1" applyFont="1" applyNumberFormat="1"/>
    <xf borderId="10" fillId="4" fontId="14" numFmtId="169" xfId="0" applyBorder="1" applyFont="1" applyNumberFormat="1"/>
    <xf borderId="0" fillId="6" fontId="35" numFmtId="1" xfId="0" applyAlignment="1" applyFont="1" applyNumberFormat="1">
      <alignment horizontal="center" readingOrder="0" vertical="center"/>
    </xf>
    <xf borderId="0" fillId="6" fontId="34" numFmtId="165" xfId="0" applyAlignment="1" applyFont="1" applyNumberFormat="1">
      <alignment horizontal="center" readingOrder="0" vertical="center"/>
    </xf>
    <xf borderId="0" fillId="6" fontId="34" numFmtId="1" xfId="0" applyAlignment="1" applyFont="1" applyNumberFormat="1">
      <alignment horizontal="center" readingOrder="0" vertical="center"/>
    </xf>
    <xf borderId="6" fillId="2" fontId="21" numFmtId="0" xfId="0" applyAlignment="1" applyBorder="1" applyFont="1">
      <alignment horizontal="center" vertical="center"/>
    </xf>
    <xf borderId="2" fillId="2" fontId="21" numFmtId="0" xfId="0" applyAlignment="1" applyBorder="1" applyFont="1">
      <alignment horizontal="center" vertical="center"/>
    </xf>
    <xf borderId="3" fillId="2" fontId="21" numFmtId="0" xfId="0" applyAlignment="1" applyBorder="1" applyFont="1">
      <alignment horizontal="center" vertical="center"/>
    </xf>
    <xf borderId="4" fillId="2" fontId="36" numFmtId="0" xfId="0" applyAlignment="1" applyBorder="1" applyFont="1">
      <alignment horizontal="center" shrinkToFit="0" vertical="center" wrapText="1"/>
    </xf>
    <xf borderId="2" fillId="2" fontId="25" numFmtId="0" xfId="0" applyAlignment="1" applyBorder="1" applyFont="1">
      <alignment horizontal="center" shrinkToFit="0" vertical="center" wrapText="1"/>
    </xf>
    <xf borderId="4" fillId="2" fontId="21" numFmtId="0" xfId="0" applyAlignment="1" applyBorder="1" applyFont="1">
      <alignment horizontal="center" vertical="center"/>
    </xf>
    <xf borderId="0" fillId="0" fontId="21" numFmtId="0" xfId="0" applyAlignment="1" applyFont="1">
      <alignment horizontal="center" vertical="center"/>
    </xf>
    <xf borderId="0" fillId="0" fontId="34" numFmtId="170" xfId="0" applyAlignment="1" applyFont="1" applyNumberFormat="1">
      <alignment horizontal="center" vertical="center"/>
    </xf>
    <xf borderId="0" fillId="2" fontId="34" numFmtId="171" xfId="0" applyAlignment="1" applyFont="1" applyNumberFormat="1">
      <alignment horizontal="center" vertical="center"/>
    </xf>
    <xf borderId="24" fillId="4" fontId="14" numFmtId="164" xfId="0" applyAlignment="1" applyBorder="1" applyFont="1" applyNumberFormat="1">
      <alignment vertical="bottom"/>
    </xf>
    <xf borderId="24" fillId="4" fontId="14" numFmtId="1" xfId="0" applyAlignment="1" applyBorder="1" applyFont="1" applyNumberFormat="1">
      <alignment shrinkToFit="0" vertical="bottom" wrapText="0"/>
    </xf>
    <xf borderId="24" fillId="4" fontId="14" numFmtId="1" xfId="0" applyAlignment="1" applyBorder="1" applyFont="1" applyNumberFormat="1">
      <alignment shrinkToFit="0" vertical="bottom" wrapText="1"/>
    </xf>
    <xf borderId="17" fillId="4" fontId="14" numFmtId="1" xfId="0" applyAlignment="1" applyBorder="1" applyFont="1" applyNumberFormat="1">
      <alignment shrinkToFit="0" vertical="bottom" wrapText="1"/>
    </xf>
    <xf borderId="10" fillId="4" fontId="14" numFmtId="1" xfId="0" applyAlignment="1" applyBorder="1" applyFont="1" applyNumberFormat="1">
      <alignment shrinkToFit="0" vertical="bottom" wrapText="1"/>
    </xf>
    <xf borderId="10" fillId="4" fontId="14" numFmtId="1" xfId="0" applyAlignment="1" applyBorder="1" applyFont="1" applyNumberFormat="1">
      <alignment readingOrder="0" shrinkToFit="0" vertical="bottom" wrapText="1"/>
    </xf>
    <xf borderId="0" fillId="2" fontId="34" numFmtId="1" xfId="0" applyAlignment="1" applyFont="1" applyNumberFormat="1">
      <alignment horizontal="center" readingOrder="0" vertical="center"/>
    </xf>
    <xf borderId="0" fillId="6" fontId="35" numFmtId="0" xfId="0" applyAlignment="1" applyFont="1">
      <alignment horizontal="center" readingOrder="0" vertical="center"/>
    </xf>
    <xf borderId="25" fillId="11" fontId="21" numFmtId="172" xfId="0" applyAlignment="1" applyBorder="1" applyFill="1" applyFont="1" applyNumberFormat="1">
      <alignment horizontal="center" vertical="center"/>
    </xf>
    <xf borderId="1" fillId="2" fontId="1" numFmtId="173" xfId="0" applyAlignment="1" applyBorder="1" applyFont="1" applyNumberFormat="1">
      <alignment horizontal="center" vertical="center"/>
    </xf>
    <xf borderId="26" fillId="8" fontId="1" numFmtId="0" xfId="0" applyAlignment="1" applyBorder="1" applyFont="1">
      <alignment horizontal="center"/>
    </xf>
    <xf borderId="26" fillId="3" fontId="8" numFmtId="0" xfId="0" applyAlignment="1" applyBorder="1" applyFont="1">
      <alignment horizontal="center" readingOrder="0" vertical="bottom"/>
    </xf>
    <xf borderId="27" fillId="3" fontId="1" numFmtId="0" xfId="0" applyAlignment="1" applyBorder="1" applyFont="1">
      <alignment horizontal="center" readingOrder="0" vertical="bottom"/>
    </xf>
    <xf borderId="25" fillId="12" fontId="16" numFmtId="4" xfId="0" applyAlignment="1" applyBorder="1" applyFill="1" applyFont="1" applyNumberFormat="1">
      <alignment horizontal="center"/>
    </xf>
    <xf borderId="13" fillId="2" fontId="16" numFmtId="164" xfId="0" applyAlignment="1" applyBorder="1" applyFont="1" applyNumberFormat="1">
      <alignment horizontal="center"/>
    </xf>
    <xf borderId="25" fillId="3" fontId="16" numFmtId="174" xfId="0" applyAlignment="1" applyBorder="1" applyFont="1" applyNumberFormat="1">
      <alignment horizontal="center" readingOrder="0" vertical="center"/>
    </xf>
    <xf borderId="25" fillId="12" fontId="16" numFmtId="175" xfId="0" applyAlignment="1" applyBorder="1" applyFont="1" applyNumberFormat="1">
      <alignment horizontal="center" vertical="center"/>
    </xf>
    <xf borderId="25" fillId="12" fontId="16" numFmtId="176" xfId="0" applyAlignment="1" applyBorder="1" applyFont="1" applyNumberFormat="1">
      <alignment horizontal="center" vertical="center"/>
    </xf>
    <xf borderId="13" fillId="2" fontId="16" numFmtId="170" xfId="0" applyAlignment="1" applyBorder="1" applyFont="1" applyNumberFormat="1">
      <alignment horizontal="center" vertical="center"/>
    </xf>
    <xf borderId="25" fillId="12" fontId="1" numFmtId="1" xfId="0" applyAlignment="1" applyBorder="1" applyFont="1" applyNumberFormat="1">
      <alignment horizontal="center" vertical="center"/>
    </xf>
    <xf borderId="0" fillId="0" fontId="1" numFmtId="1" xfId="0" applyAlignment="1" applyFont="1" applyNumberFormat="1">
      <alignment horizontal="center" vertical="center"/>
    </xf>
    <xf borderId="25" fillId="0" fontId="12" numFmtId="166" xfId="0" applyAlignment="1" applyBorder="1" applyFont="1" applyNumberFormat="1">
      <alignment horizontal="center" vertical="center"/>
    </xf>
    <xf borderId="25" fillId="0" fontId="8" numFmtId="166" xfId="0" applyAlignment="1" applyBorder="1" applyFont="1" applyNumberFormat="1">
      <alignment horizontal="center" vertical="center"/>
    </xf>
    <xf borderId="28" fillId="11" fontId="21" numFmtId="0" xfId="0" applyAlignment="1" applyBorder="1" applyFont="1">
      <alignment horizontal="center" vertical="center"/>
    </xf>
    <xf borderId="29" fillId="2" fontId="34" numFmtId="171" xfId="0" applyAlignment="1" applyBorder="1" applyFont="1" applyNumberFormat="1">
      <alignment horizontal="center" vertical="center"/>
    </xf>
    <xf borderId="30" fillId="2" fontId="34" numFmtId="171" xfId="0" applyAlignment="1" applyBorder="1" applyFont="1" applyNumberFormat="1">
      <alignment horizontal="center" vertical="center"/>
    </xf>
    <xf borderId="28" fillId="2" fontId="34" numFmtId="171" xfId="0" applyAlignment="1" applyBorder="1" applyFont="1" applyNumberFormat="1">
      <alignment horizontal="center" vertical="center"/>
    </xf>
    <xf borderId="1" fillId="4" fontId="14" numFmtId="164" xfId="0" applyBorder="1" applyFont="1" applyNumberFormat="1"/>
    <xf borderId="31" fillId="4" fontId="14" numFmtId="164" xfId="0" applyAlignment="1" applyBorder="1" applyFont="1" applyNumberFormat="1">
      <alignment vertical="bottom"/>
    </xf>
    <xf borderId="32" fillId="4" fontId="14" numFmtId="164" xfId="0" applyAlignment="1" applyBorder="1" applyFont="1" applyNumberFormat="1">
      <alignment vertical="bottom"/>
    </xf>
    <xf borderId="32" fillId="12" fontId="37" numFmtId="164" xfId="0" applyAlignment="1" applyBorder="1" applyFont="1" applyNumberFormat="1">
      <alignment horizontal="center" vertical="bottom"/>
    </xf>
    <xf borderId="33" fillId="12" fontId="37" numFmtId="1" xfId="0" applyAlignment="1" applyBorder="1" applyFont="1" applyNumberFormat="1">
      <alignment horizontal="center"/>
    </xf>
    <xf borderId="33" fillId="12" fontId="37" numFmtId="2" xfId="0" applyAlignment="1" applyBorder="1" applyFont="1" applyNumberFormat="1">
      <alignment horizontal="center"/>
    </xf>
    <xf borderId="30" fillId="12" fontId="37" numFmtId="1" xfId="0" applyAlignment="1" applyBorder="1" applyFont="1" applyNumberFormat="1">
      <alignment horizontal="center"/>
    </xf>
    <xf borderId="28" fillId="12" fontId="37" numFmtId="1" xfId="0" applyAlignment="1" applyBorder="1" applyFont="1" applyNumberFormat="1">
      <alignment horizontal="center"/>
    </xf>
    <xf borderId="6" fillId="4" fontId="14" numFmtId="1" xfId="0" applyAlignment="1" applyBorder="1" applyFont="1" applyNumberFormat="1">
      <alignment horizontal="center" vertical="center"/>
    </xf>
    <xf borderId="6" fillId="4" fontId="14" numFmtId="1" xfId="0" applyAlignment="1" applyBorder="1" applyFont="1" applyNumberFormat="1">
      <alignment horizontal="right" vertical="center"/>
    </xf>
    <xf borderId="0" fillId="6" fontId="38" numFmtId="164" xfId="0" applyAlignment="1" applyFont="1" applyNumberFormat="1">
      <alignment horizontal="left" vertical="center"/>
    </xf>
    <xf borderId="0" fillId="6" fontId="39" numFmtId="164" xfId="0" applyAlignment="1" applyFont="1" applyNumberFormat="1">
      <alignment horizontal="left" readingOrder="0"/>
    </xf>
    <xf borderId="0" fillId="6" fontId="39" numFmtId="164" xfId="0" applyAlignment="1" applyFont="1" applyNumberFormat="1">
      <alignment horizontal="left"/>
    </xf>
    <xf borderId="0" fillId="6" fontId="34" numFmtId="164" xfId="0" applyAlignment="1" applyFont="1" applyNumberFormat="1">
      <alignment horizontal="center" vertical="center"/>
    </xf>
    <xf borderId="0" fillId="6" fontId="34" numFmtId="177" xfId="0" applyAlignment="1" applyFont="1" applyNumberFormat="1">
      <alignment horizontal="center" vertical="center"/>
    </xf>
    <xf borderId="34" fillId="0" fontId="3" numFmtId="0" xfId="0" applyBorder="1" applyFont="1"/>
    <xf borderId="1" fillId="2" fontId="1" numFmtId="0" xfId="0" applyAlignment="1" applyBorder="1" applyFont="1">
      <alignment horizontal="center" vertical="center"/>
    </xf>
    <xf borderId="35" fillId="8" fontId="1" numFmtId="0" xfId="0" applyAlignment="1" applyBorder="1" applyFont="1">
      <alignment horizontal="center"/>
    </xf>
    <xf borderId="34" fillId="3" fontId="8" numFmtId="0" xfId="0" applyAlignment="1" applyBorder="1" applyFont="1">
      <alignment horizontal="center" readingOrder="0" vertical="bottom"/>
    </xf>
    <xf borderId="36" fillId="3" fontId="1" numFmtId="0" xfId="0" applyAlignment="1" applyBorder="1" applyFont="1">
      <alignment horizontal="center" readingOrder="0" vertical="bottom"/>
    </xf>
    <xf borderId="34" fillId="12" fontId="16" numFmtId="3" xfId="0" applyAlignment="1" applyBorder="1" applyFont="1" applyNumberFormat="1">
      <alignment horizontal="center"/>
    </xf>
    <xf borderId="13" fillId="2" fontId="16" numFmtId="1" xfId="0" applyAlignment="1" applyBorder="1" applyFont="1" applyNumberFormat="1">
      <alignment horizontal="center"/>
    </xf>
    <xf borderId="37" fillId="0" fontId="3" numFmtId="0" xfId="0" applyBorder="1" applyFont="1"/>
    <xf borderId="38" fillId="0" fontId="3" numFmtId="0" xfId="0" applyBorder="1" applyFont="1"/>
    <xf borderId="39" fillId="2" fontId="34" numFmtId="171" xfId="0" applyAlignment="1" applyBorder="1" applyFont="1" applyNumberFormat="1">
      <alignment horizontal="center" vertical="center"/>
    </xf>
    <xf borderId="38" fillId="2" fontId="34" numFmtId="171" xfId="0" applyAlignment="1" applyBorder="1" applyFont="1" applyNumberFormat="1">
      <alignment horizontal="center" vertical="center"/>
    </xf>
    <xf borderId="10" fillId="4" fontId="14" numFmtId="164" xfId="0" applyBorder="1" applyFont="1" applyNumberFormat="1"/>
    <xf borderId="40" fillId="4" fontId="14" numFmtId="164" xfId="0" applyAlignment="1" applyBorder="1" applyFont="1" applyNumberFormat="1">
      <alignment vertical="bottom"/>
    </xf>
    <xf borderId="24" fillId="12" fontId="37" numFmtId="1" xfId="0" applyAlignment="1" applyBorder="1" applyFont="1" applyNumberFormat="1">
      <alignment horizontal="center" vertical="bottom"/>
    </xf>
    <xf borderId="24" fillId="12" fontId="37" numFmtId="1" xfId="0" applyAlignment="1" applyBorder="1" applyFont="1" applyNumberFormat="1">
      <alignment horizontal="center"/>
    </xf>
    <xf borderId="24" fillId="12" fontId="37" numFmtId="2" xfId="0" applyAlignment="1" applyBorder="1" applyFont="1" applyNumberFormat="1">
      <alignment horizontal="center"/>
    </xf>
    <xf borderId="24" fillId="0" fontId="3" numFmtId="0" xfId="0" applyBorder="1" applyFont="1"/>
    <xf borderId="41" fillId="3" fontId="8" numFmtId="0" xfId="0" applyAlignment="1" applyBorder="1" applyFont="1">
      <alignment horizontal="center" readingOrder="0" vertical="bottom"/>
    </xf>
    <xf borderId="40" fillId="3" fontId="8" numFmtId="0" xfId="0" applyAlignment="1" applyBorder="1" applyFont="1">
      <alignment horizontal="center" readingOrder="0" vertical="bottom"/>
    </xf>
    <xf borderId="40" fillId="3" fontId="1" numFmtId="0" xfId="0" applyAlignment="1" applyBorder="1" applyFont="1">
      <alignment horizontal="center" readingOrder="0" vertical="bottom"/>
    </xf>
    <xf borderId="11" fillId="2" fontId="16" numFmtId="164" xfId="0" applyAlignment="1" applyBorder="1" applyFont="1" applyNumberFormat="1">
      <alignment horizontal="center"/>
    </xf>
    <xf borderId="37" fillId="12" fontId="16" numFmtId="164" xfId="0" applyAlignment="1" applyBorder="1" applyFont="1" applyNumberFormat="1">
      <alignment horizontal="center" vertical="center"/>
    </xf>
    <xf borderId="17" fillId="4" fontId="14" numFmtId="1" xfId="0" applyAlignment="1" applyBorder="1" applyFont="1" applyNumberFormat="1">
      <alignment readingOrder="0" vertical="bottom"/>
    </xf>
    <xf borderId="10" fillId="12" fontId="37" numFmtId="164" xfId="0" applyAlignment="1" applyBorder="1" applyFont="1" applyNumberFormat="1">
      <alignment horizontal="center" vertical="bottom"/>
    </xf>
    <xf borderId="17" fillId="12" fontId="37" numFmtId="2" xfId="0" applyAlignment="1" applyBorder="1" applyFont="1" applyNumberFormat="1">
      <alignment horizontal="center"/>
    </xf>
    <xf borderId="36" fillId="3" fontId="8" numFmtId="0" xfId="0" applyAlignment="1" applyBorder="1" applyFont="1">
      <alignment horizontal="center" readingOrder="0" vertical="bottom"/>
    </xf>
    <xf borderId="11" fillId="2" fontId="16" numFmtId="1" xfId="0" applyAlignment="1" applyBorder="1" applyFont="1" applyNumberFormat="1">
      <alignment horizontal="center"/>
    </xf>
    <xf borderId="41" fillId="3" fontId="1" numFmtId="0" xfId="0" applyAlignment="1" applyBorder="1" applyFont="1">
      <alignment horizontal="center" readingOrder="0" vertical="bottom"/>
    </xf>
    <xf borderId="25" fillId="12" fontId="16" numFmtId="2" xfId="0" applyAlignment="1" applyBorder="1" applyFont="1" applyNumberFormat="1">
      <alignment horizontal="center"/>
    </xf>
    <xf borderId="37" fillId="12" fontId="16" numFmtId="2" xfId="0" applyAlignment="1" applyBorder="1" applyFont="1" applyNumberFormat="1">
      <alignment horizontal="center"/>
    </xf>
    <xf borderId="34" fillId="3" fontId="1" numFmtId="0" xfId="0" applyAlignment="1" applyBorder="1" applyFont="1">
      <alignment horizontal="center" readingOrder="0" vertical="bottom"/>
    </xf>
    <xf borderId="36" fillId="3" fontId="40" numFmtId="0" xfId="0" applyAlignment="1" applyBorder="1" applyFont="1">
      <alignment vertical="bottom"/>
    </xf>
    <xf borderId="41" fillId="3" fontId="1" numFmtId="0" xfId="0" applyAlignment="1" applyBorder="1" applyFont="1">
      <alignment horizontal="center" vertical="bottom"/>
    </xf>
    <xf borderId="40" fillId="3" fontId="1" numFmtId="0" xfId="0" applyAlignment="1" applyBorder="1" applyFont="1">
      <alignment horizontal="center" vertical="bottom"/>
    </xf>
    <xf borderId="40" fillId="3" fontId="8" numFmtId="0" xfId="0" applyAlignment="1" applyBorder="1" applyFont="1">
      <alignment horizontal="center" vertical="bottom"/>
    </xf>
    <xf borderId="34" fillId="3" fontId="1" numFmtId="0" xfId="0" applyAlignment="1" applyBorder="1" applyFont="1">
      <alignment horizontal="center" vertical="bottom"/>
    </xf>
    <xf borderId="36" fillId="3" fontId="1" numFmtId="0" xfId="0" applyAlignment="1" applyBorder="1" applyFont="1">
      <alignment horizontal="center" vertical="bottom"/>
    </xf>
    <xf borderId="36" fillId="3" fontId="8" numFmtId="0" xfId="0" applyAlignment="1" applyBorder="1" applyFont="1">
      <alignment horizontal="center" vertical="bottom"/>
    </xf>
    <xf borderId="42" fillId="2" fontId="34" numFmtId="171" xfId="0" applyAlignment="1" applyBorder="1" applyFont="1" applyNumberFormat="1">
      <alignment horizontal="center" vertical="center"/>
    </xf>
    <xf borderId="22" fillId="2" fontId="34" numFmtId="171" xfId="0" applyAlignment="1" applyBorder="1" applyFont="1" applyNumberFormat="1">
      <alignment horizontal="center" vertical="center"/>
    </xf>
    <xf borderId="36" fillId="2" fontId="34" numFmtId="171" xfId="0" applyAlignment="1" applyBorder="1" applyFont="1" applyNumberFormat="1">
      <alignment horizontal="center" vertical="center"/>
    </xf>
    <xf borderId="15" fillId="4" fontId="14" numFmtId="164" xfId="0" applyBorder="1" applyFont="1" applyNumberFormat="1"/>
    <xf borderId="40" fillId="3" fontId="1" numFmtId="0" xfId="0" applyAlignment="1" applyBorder="1" applyFont="1">
      <alignment horizontal="center" readingOrder="0"/>
    </xf>
    <xf borderId="36" fillId="3" fontId="41" numFmtId="0" xfId="0" applyAlignment="1" applyBorder="1" applyFont="1">
      <alignment horizontal="center" readingOrder="0"/>
    </xf>
    <xf borderId="36" fillId="3" fontId="1" numFmtId="0" xfId="0" applyAlignment="1" applyBorder="1" applyFont="1">
      <alignment horizontal="center" readingOrder="0"/>
    </xf>
    <xf borderId="27" fillId="3" fontId="8" numFmtId="0" xfId="0" applyAlignment="1" applyBorder="1" applyFont="1">
      <alignment horizontal="center" readingOrder="0" vertical="bottom"/>
    </xf>
    <xf borderId="0" fillId="0" fontId="1" numFmtId="2" xfId="0" applyAlignment="1" applyFont="1" applyNumberFormat="1">
      <alignment horizontal="center" vertical="center"/>
    </xf>
    <xf borderId="25" fillId="3" fontId="16" numFmtId="174" xfId="0" applyAlignment="1" applyBorder="1" applyFont="1" applyNumberFormat="1">
      <alignment horizontal="center" vertical="center"/>
    </xf>
    <xf borderId="41" fillId="3" fontId="8" numFmtId="0" xfId="0" applyAlignment="1" applyBorder="1" applyFont="1">
      <alignment horizontal="center" vertical="bottom"/>
    </xf>
    <xf borderId="34" fillId="3" fontId="8" numFmtId="0" xfId="0" applyAlignment="1" applyBorder="1" applyFont="1">
      <alignment horizontal="center" vertical="bottom"/>
    </xf>
    <xf borderId="36" fillId="0" fontId="3" numFmtId="0" xfId="0" applyBorder="1" applyFont="1"/>
    <xf borderId="0" fillId="2" fontId="1" numFmtId="0" xfId="0" applyAlignment="1" applyFont="1">
      <alignment horizontal="center"/>
    </xf>
    <xf borderId="0" fillId="2" fontId="1" numFmtId="0" xfId="0" applyAlignment="1" applyFont="1">
      <alignment horizontal="center" vertical="center"/>
    </xf>
    <xf borderId="0" fillId="2" fontId="9" numFmtId="2" xfId="0" applyFont="1" applyNumberFormat="1"/>
    <xf borderId="0" fillId="0" fontId="3" numFmtId="2" xfId="0" applyFont="1" applyNumberFormat="1"/>
    <xf borderId="0" fillId="2" fontId="9" numFmtId="4" xfId="0" applyFont="1" applyNumberFormat="1"/>
    <xf borderId="0" fillId="0" fontId="3" numFmtId="4" xfId="0" applyFont="1" applyNumberFormat="1"/>
    <xf borderId="3" fillId="2" fontId="42" numFmtId="0" xfId="0" applyBorder="1" applyFont="1"/>
    <xf borderId="0" fillId="2" fontId="26" numFmtId="0" xfId="0" applyAlignment="1" applyFont="1">
      <alignment vertical="center"/>
    </xf>
    <xf borderId="43" fillId="5" fontId="43" numFmtId="0" xfId="0" applyAlignment="1" applyBorder="1" applyFont="1">
      <alignment horizontal="center" vertical="center"/>
    </xf>
    <xf borderId="44" fillId="0" fontId="3" numFmtId="0" xfId="0" applyBorder="1" applyFont="1"/>
    <xf borderId="45" fillId="0" fontId="3" numFmtId="0" xfId="0" applyBorder="1" applyFont="1"/>
    <xf borderId="0" fillId="2" fontId="43" numFmtId="0" xfId="0" applyAlignment="1" applyFont="1">
      <alignment horizontal="center" vertical="center"/>
    </xf>
    <xf borderId="15" fillId="2" fontId="26" numFmtId="0" xfId="0" applyAlignment="1" applyBorder="1" applyFont="1">
      <alignment vertical="center"/>
    </xf>
    <xf borderId="16" fillId="2" fontId="1" numFmtId="0" xfId="0" applyBorder="1" applyFont="1"/>
    <xf borderId="17" fillId="2" fontId="26" numFmtId="0" xfId="0" applyAlignment="1" applyBorder="1" applyFont="1">
      <alignment vertical="center"/>
    </xf>
    <xf borderId="18" fillId="2" fontId="26" numFmtId="0" xfId="0" applyAlignment="1" applyBorder="1" applyFont="1">
      <alignment vertical="center"/>
    </xf>
    <xf borderId="15" fillId="2" fontId="44" numFmtId="0" xfId="0" applyAlignment="1" applyBorder="1" applyFont="1">
      <alignment horizontal="right" vertical="center"/>
    </xf>
    <xf borderId="0" fillId="2" fontId="15" numFmtId="0" xfId="0" applyAlignment="1" applyFont="1">
      <alignment horizontal="center" vertical="center"/>
    </xf>
    <xf borderId="46" fillId="13" fontId="15" numFmtId="0" xfId="0" applyAlignment="1" applyBorder="1" applyFill="1" applyFont="1">
      <alignment horizontal="center" vertical="center"/>
    </xf>
    <xf borderId="46" fillId="13" fontId="15" numFmtId="0" xfId="0" applyAlignment="1" applyBorder="1" applyFont="1">
      <alignment horizontal="center" shrinkToFit="0" vertical="center" wrapText="1"/>
    </xf>
    <xf borderId="0" fillId="2" fontId="15" numFmtId="0" xfId="0" applyAlignment="1" applyFont="1">
      <alignment horizontal="center" shrinkToFit="0" vertical="center" wrapText="1"/>
    </xf>
    <xf borderId="0" fillId="2" fontId="1" numFmtId="172" xfId="0" applyAlignment="1" applyFont="1" applyNumberFormat="1">
      <alignment horizontal="center"/>
    </xf>
    <xf borderId="46" fillId="2" fontId="1" numFmtId="172" xfId="0" applyAlignment="1" applyBorder="1" applyFont="1" applyNumberFormat="1">
      <alignment horizontal="center"/>
    </xf>
    <xf borderId="45" fillId="2" fontId="1" numFmtId="2" xfId="0" applyAlignment="1" applyBorder="1" applyFont="1" applyNumberFormat="1">
      <alignment horizontal="center" vertical="bottom"/>
    </xf>
    <xf borderId="45" fillId="2" fontId="1" numFmtId="1" xfId="0" applyAlignment="1" applyBorder="1" applyFont="1" applyNumberFormat="1">
      <alignment horizontal="center" vertical="bottom"/>
    </xf>
    <xf borderId="46" fillId="2" fontId="1" numFmtId="0" xfId="0" applyAlignment="1" applyBorder="1" applyFont="1">
      <alignment horizontal="center" vertical="center"/>
    </xf>
    <xf borderId="46" fillId="2" fontId="1" numFmtId="2" xfId="0" applyAlignment="1" applyBorder="1" applyFont="1" applyNumberFormat="1">
      <alignment horizontal="center"/>
    </xf>
    <xf borderId="0" fillId="2" fontId="1" numFmtId="2" xfId="0" applyAlignment="1" applyFont="1" applyNumberFormat="1">
      <alignment horizontal="center"/>
    </xf>
    <xf borderId="0" fillId="2" fontId="1" numFmtId="172" xfId="0" applyAlignment="1" applyFont="1" applyNumberFormat="1">
      <alignment horizontal="center" vertical="center"/>
    </xf>
    <xf borderId="46" fillId="14" fontId="1" numFmtId="172" xfId="0" applyAlignment="1" applyBorder="1" applyFill="1" applyFont="1" applyNumberFormat="1">
      <alignment horizontal="center" vertical="center"/>
    </xf>
    <xf borderId="45" fillId="10" fontId="1" numFmtId="2" xfId="0" applyAlignment="1" applyBorder="1" applyFont="1" applyNumberFormat="1">
      <alignment horizontal="center" vertical="bottom"/>
    </xf>
    <xf borderId="45" fillId="10" fontId="1" numFmtId="1" xfId="0" applyAlignment="1" applyBorder="1" applyFont="1" applyNumberFormat="1">
      <alignment horizontal="center" vertical="bottom"/>
    </xf>
    <xf borderId="46" fillId="14" fontId="1" numFmtId="178" xfId="0" applyAlignment="1" applyBorder="1" applyFont="1" applyNumberFormat="1">
      <alignment horizontal="center" vertical="center"/>
    </xf>
    <xf borderId="46" fillId="10" fontId="1" numFmtId="2" xfId="0" applyAlignment="1" applyBorder="1" applyFont="1" applyNumberFormat="1">
      <alignment horizontal="center"/>
    </xf>
    <xf borderId="46" fillId="2" fontId="1" numFmtId="172" xfId="0" applyAlignment="1" applyBorder="1" applyFont="1" applyNumberFormat="1">
      <alignment horizontal="center" vertical="center"/>
    </xf>
    <xf borderId="46" fillId="2" fontId="1" numFmtId="178" xfId="0" applyAlignment="1" applyBorder="1" applyFont="1" applyNumberFormat="1">
      <alignment horizontal="center" vertical="center"/>
    </xf>
    <xf borderId="15" fillId="2" fontId="1" numFmtId="179" xfId="0" applyBorder="1" applyFont="1" applyNumberFormat="1"/>
    <xf borderId="15" fillId="2" fontId="1" numFmtId="0" xfId="0" applyBorder="1" applyFont="1"/>
    <xf borderId="1" fillId="2" fontId="42" numFmtId="0" xfId="0" applyBorder="1" applyFont="1"/>
    <xf borderId="0" fillId="2" fontId="42" numFmtId="0" xfId="0" applyFont="1"/>
    <xf borderId="0" fillId="2" fontId="1" numFmtId="172" xfId="0" applyFont="1" applyNumberFormat="1"/>
    <xf borderId="43" fillId="5" fontId="43" numFmtId="0" xfId="0" applyAlignment="1" applyBorder="1" applyFont="1">
      <alignment horizontal="center" readingOrder="0" vertical="center"/>
    </xf>
    <xf borderId="23" fillId="2" fontId="1" numFmtId="0" xfId="0" applyBorder="1" applyFont="1"/>
    <xf borderId="29" fillId="0" fontId="3" numFmtId="0" xfId="0" applyAlignment="1" applyBorder="1" applyFont="1">
      <alignment readingOrder="0" shrinkToFit="0" wrapText="1"/>
    </xf>
    <xf borderId="30" fillId="0" fontId="3" numFmtId="0" xfId="0" applyBorder="1" applyFont="1"/>
    <xf borderId="28" fillId="0" fontId="3" numFmtId="0" xfId="0" applyBorder="1" applyFont="1"/>
    <xf borderId="39" fillId="0" fontId="3" numFmtId="0" xfId="0" applyBorder="1" applyFont="1"/>
    <xf borderId="42" fillId="0" fontId="3" numFmtId="0" xfId="0" applyBorder="1" applyFont="1"/>
    <xf borderId="22" fillId="0" fontId="3" numFmtId="0" xfId="0" applyBorder="1" applyFont="1"/>
    <xf borderId="0" fillId="15" fontId="45" numFmtId="0" xfId="0" applyAlignment="1" applyFill="1" applyFont="1">
      <alignment horizontal="center" readingOrder="0"/>
    </xf>
    <xf borderId="0" fillId="3" fontId="46" numFmtId="180" xfId="0" applyAlignment="1" applyFont="1" applyNumberFormat="1">
      <alignment horizontal="center" vertical="bottom"/>
    </xf>
    <xf borderId="0" fillId="2" fontId="47" numFmtId="180" xfId="0" applyAlignment="1" applyFont="1" applyNumberFormat="1">
      <alignment horizontal="center" vertical="bottom"/>
    </xf>
    <xf borderId="0" fillId="2" fontId="47" numFmtId="180" xfId="0" applyAlignment="1" applyFont="1" applyNumberFormat="1">
      <alignment horizontal="center" readingOrder="0"/>
    </xf>
    <xf borderId="0" fillId="3" fontId="46" numFmtId="180" xfId="0" applyAlignment="1" applyFont="1" applyNumberFormat="1">
      <alignment horizontal="center" readingOrder="0"/>
    </xf>
    <xf borderId="0" fillId="2" fontId="47" numFmtId="0" xfId="0" applyAlignment="1" applyFont="1">
      <alignment horizontal="center" readingOrder="0"/>
    </xf>
    <xf borderId="0" fillId="3" fontId="46" numFmtId="0" xfId="0" applyAlignment="1" applyFont="1">
      <alignment horizontal="center" readingOrder="0"/>
    </xf>
    <xf borderId="0" fillId="2" fontId="48" numFmtId="0" xfId="0" applyAlignment="1" applyFont="1">
      <alignment horizontal="center" vertical="bottom"/>
    </xf>
    <xf borderId="0" fillId="15" fontId="45" numFmtId="0" xfId="0" applyAlignment="1" applyFont="1">
      <alignment horizontal="center" vertical="bottom"/>
    </xf>
    <xf borderId="0" fillId="2" fontId="48" numFmtId="0" xfId="0" applyAlignment="1" applyFont="1">
      <alignment horizontal="center" readingOrder="0"/>
    </xf>
    <xf borderId="0" fillId="16" fontId="49" numFmtId="0" xfId="0" applyAlignment="1" applyFill="1" applyFont="1">
      <alignment horizontal="center" readingOrder="0" shrinkToFit="0" vertical="center" wrapText="1"/>
    </xf>
    <xf borderId="0" fillId="16" fontId="40" numFmtId="0" xfId="0" applyFont="1"/>
    <xf borderId="0" fillId="17" fontId="50" numFmtId="0" xfId="0" applyAlignment="1" applyFill="1" applyFont="1">
      <alignment horizontal="center" readingOrder="0" vertical="center"/>
    </xf>
    <xf borderId="0" fillId="3" fontId="51" numFmtId="0" xfId="0" applyAlignment="1" applyFont="1">
      <alignment horizontal="center"/>
    </xf>
    <xf borderId="0" fillId="2" fontId="52" numFmtId="0" xfId="0" applyAlignment="1" applyFont="1">
      <alignment horizontal="center"/>
    </xf>
    <xf borderId="0" fillId="2" fontId="52" numFmtId="0" xfId="0" applyAlignment="1" applyFont="1">
      <alignment horizontal="center" readingOrder="0" vertical="center"/>
    </xf>
    <xf borderId="0" fillId="3" fontId="51" numFmtId="0" xfId="0" applyAlignment="1" applyFont="1">
      <alignment horizontal="center" readingOrder="0" vertical="center"/>
    </xf>
    <xf borderId="0" fillId="3" fontId="51" numFmtId="0" xfId="0" applyAlignment="1" applyFont="1">
      <alignment horizontal="center" readingOrder="0"/>
    </xf>
    <xf borderId="0" fillId="3" fontId="49" numFmtId="0" xfId="0" applyAlignment="1" applyFont="1">
      <alignment horizontal="center" readingOrder="0" vertical="center"/>
    </xf>
    <xf borderId="0" fillId="2" fontId="52" numFmtId="0" xfId="0" applyAlignment="1" applyFont="1">
      <alignment horizontal="center" vertical="center"/>
    </xf>
    <xf borderId="0" fillId="0" fontId="3" numFmtId="0" xfId="0" applyAlignment="1" applyFont="1">
      <alignment horizontal="center" readingOrder="0"/>
    </xf>
    <xf borderId="0" fillId="0" fontId="3" numFmtId="0" xfId="0" applyAlignment="1" applyFont="1">
      <alignment horizontal="center"/>
    </xf>
    <xf borderId="0" fillId="0" fontId="51" numFmtId="0" xfId="0" applyAlignment="1" applyFont="1">
      <alignment horizontal="center" readingOrder="0"/>
    </xf>
    <xf borderId="0" fillId="0" fontId="51" numFmtId="0" xfId="0" applyAlignment="1" applyFont="1">
      <alignment horizontal="center"/>
    </xf>
    <xf borderId="0" fillId="15" fontId="53" numFmtId="0" xfId="0" applyAlignment="1" applyFont="1">
      <alignment horizontal="center" readingOrder="0" shrinkToFit="0" vertical="center" wrapText="1"/>
    </xf>
    <xf borderId="0" fillId="17" fontId="45" numFmtId="0" xfId="0" applyAlignment="1" applyFont="1">
      <alignment horizontal="center" readingOrder="0"/>
    </xf>
    <xf borderId="0" fillId="3" fontId="47" numFmtId="180" xfId="0" applyAlignment="1" applyFont="1" applyNumberFormat="1">
      <alignment horizontal="center" readingOrder="0"/>
    </xf>
    <xf borderId="0" fillId="18" fontId="49" numFmtId="0" xfId="0" applyAlignment="1" applyFill="1" applyFont="1">
      <alignment horizontal="center" readingOrder="0" shrinkToFit="0" vertical="center" wrapText="1"/>
    </xf>
    <xf borderId="0" fillId="19" fontId="45" numFmtId="0" xfId="0" applyAlignment="1" applyFill="1" applyFont="1">
      <alignment horizontal="center"/>
    </xf>
    <xf borderId="0" fillId="15" fontId="53" numFmtId="0" xfId="0" applyAlignment="1" applyFont="1">
      <alignment horizontal="center" readingOrder="0" vertical="center"/>
    </xf>
  </cellXfs>
  <cellStyles count="1">
    <cellStyle xfId="0" name="Normal" builtinId="0"/>
  </cellStyles>
  <dxfs count="21">
    <dxf>
      <font>
        <color rgb="FFFF0000"/>
      </font>
      <fill>
        <patternFill patternType="solid">
          <fgColor rgb="FFFFFFFF"/>
          <bgColor rgb="FFFFFFFF"/>
        </patternFill>
      </fill>
      <border/>
    </dxf>
    <dxf>
      <font>
        <color rgb="FFFF0000"/>
      </font>
      <fill>
        <patternFill patternType="none"/>
      </fill>
      <border/>
    </dxf>
    <dxf>
      <font>
        <color rgb="FF008E40"/>
      </font>
      <fill>
        <patternFill patternType="none"/>
      </fill>
      <border/>
    </dxf>
    <dxf>
      <font/>
      <fill>
        <patternFill patternType="solid">
          <fgColor rgb="FFFFFFFF"/>
          <bgColor rgb="FFFFFFFF"/>
        </patternFill>
      </fill>
      <border/>
    </dxf>
    <dxf>
      <font>
        <b/>
      </font>
      <fill>
        <patternFill patternType="solid">
          <fgColor rgb="FFFFFFFF"/>
          <bgColor rgb="FFFFFFFF"/>
        </patternFill>
      </fill>
      <border/>
    </dxf>
    <dxf>
      <font>
        <color rgb="FFFFFFFF"/>
      </font>
      <fill>
        <patternFill patternType="solid">
          <fgColor rgb="FFFFFFFF"/>
          <bgColor rgb="FFFFFFFF"/>
        </patternFill>
      </fill>
      <border/>
    </dxf>
    <dxf>
      <font>
        <b/>
        <color rgb="FF000000"/>
      </font>
      <fill>
        <patternFill patternType="solid">
          <fgColor rgb="FFFFF2CC"/>
          <bgColor rgb="FFFFF2CC"/>
        </patternFill>
      </fill>
      <border/>
    </dxf>
    <dxf>
      <font>
        <b/>
        <color rgb="FFFFFFFF"/>
      </font>
      <fill>
        <patternFill patternType="solid">
          <fgColor rgb="FFFF0000"/>
          <bgColor rgb="FFFF0000"/>
        </patternFill>
      </fill>
      <border/>
    </dxf>
    <dxf>
      <font>
        <b/>
        <i/>
        <color rgb="FF0000FF"/>
      </font>
      <fill>
        <patternFill patternType="solid">
          <fgColor rgb="FFFFFF00"/>
          <bgColor rgb="FFFFFF00"/>
        </patternFill>
      </fill>
      <border/>
    </dxf>
    <dxf>
      <font>
        <color rgb="FF000000"/>
      </font>
      <fill>
        <patternFill patternType="solid">
          <fgColor rgb="FFFFF2CC"/>
          <bgColor rgb="FFFFF2CC"/>
        </patternFill>
      </fill>
      <border/>
    </dxf>
    <dxf>
      <font>
        <color rgb="FF008E40"/>
      </font>
      <fill>
        <patternFill patternType="solid">
          <fgColor rgb="FFD9D9D9"/>
          <bgColor rgb="FFD9D9D9"/>
        </patternFill>
      </fill>
      <border/>
    </dxf>
    <dxf>
      <font>
        <color rgb="FFB7B7B7"/>
      </font>
      <fill>
        <patternFill patternType="solid">
          <fgColor rgb="FFD9D9D9"/>
          <bgColor rgb="FFD9D9D9"/>
        </patternFill>
      </fill>
      <border/>
    </dxf>
    <dxf>
      <font>
        <color rgb="FFD9D9D9"/>
      </font>
      <fill>
        <patternFill patternType="solid">
          <fgColor rgb="FFD9D9D9"/>
          <bgColor rgb="FFD9D9D9"/>
        </patternFill>
      </fill>
      <border/>
    </dxf>
    <dxf>
      <font>
        <b/>
        <i/>
        <color rgb="FFFFFFFF"/>
      </font>
      <fill>
        <patternFill patternType="solid">
          <fgColor rgb="FFFF0000"/>
          <bgColor rgb="FFFF0000"/>
        </patternFill>
      </fill>
      <border/>
    </dxf>
    <dxf>
      <font>
        <i/>
        <color rgb="FFFFFFFF"/>
      </font>
      <fill>
        <patternFill patternType="solid">
          <fgColor rgb="FFFF0000"/>
          <bgColor rgb="FFFF0000"/>
        </patternFill>
      </fill>
      <border/>
    </dxf>
    <dxf>
      <font/>
      <fill>
        <patternFill patternType="solid">
          <fgColor rgb="FFD9D9D9"/>
          <bgColor rgb="FFD9D9D9"/>
        </patternFill>
      </fill>
      <border/>
    </dxf>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B7E1CD"/>
          <bgColor rgb="FFB7E1CD"/>
        </patternFill>
      </fill>
      <border/>
    </dxf>
  </dxfs>
  <tableStyles count="1">
    <tableStyle count="3" pivot="0" name="SUMMARY-style">
      <tableStyleElement dxfId="17" type="headerRow"/>
      <tableStyleElement dxfId="18" type="firstRowStripe"/>
      <tableStyleElement dxfId="1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2867025"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2</xdr:row>
      <xdr:rowOff>180975</xdr:rowOff>
    </xdr:from>
    <xdr:ext cx="7800975" cy="6648450"/>
    <xdr:pic>
      <xdr:nvPicPr>
        <xdr:cNvPr id="166319565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0</xdr:row>
      <xdr:rowOff>0</xdr:rowOff>
    </xdr:from>
    <xdr:ext cx="2867025" cy="9144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0</xdr:rowOff>
    </xdr:from>
    <xdr:ext cx="2867025" cy="914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L4:L56" displayName="Table_1" name="Table_1" id="1">
  <tableColumns count="1">
    <tableColumn name="Column1" id="1"/>
  </tableColumns>
  <tableStyleInfo name="SUMMARY-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25"/>
    <col customWidth="1" min="2" max="2" width="12.38"/>
    <col customWidth="1" min="3" max="3" width="1.88"/>
    <col customWidth="1" min="4" max="4" width="14.25"/>
    <col customWidth="1" min="5" max="11" width="10.25"/>
    <col customWidth="1" min="12" max="12" width="17.38"/>
    <col customWidth="1" min="13" max="13" width="1.13"/>
    <col customWidth="1" min="14" max="14" width="7.5"/>
    <col customWidth="1" min="15" max="15" width="7.25"/>
    <col customWidth="1" min="16" max="16" width="8.25"/>
    <col customWidth="1" min="17" max="18" width="11.0"/>
    <col customWidth="1" min="19" max="19" width="11.13"/>
    <col customWidth="1" min="20" max="20" width="1.75"/>
    <col customWidth="1" min="21" max="21" width="12.38"/>
    <col customWidth="1" min="22" max="22" width="20.88"/>
    <col customWidth="1" hidden="1" min="23" max="23" width="13.38"/>
    <col customWidth="1" hidden="1" min="24" max="24" width="11.13"/>
    <col customWidth="1" hidden="1" min="25" max="35" width="10.25"/>
    <col customWidth="1" hidden="1" min="36" max="36" width="6.38"/>
    <col customWidth="1" hidden="1" min="37" max="38" width="7.88"/>
    <col customWidth="1" hidden="1" min="39" max="48" width="6.38"/>
    <col customWidth="1" hidden="1" min="49" max="49" width="11.88"/>
    <col customWidth="1" hidden="1" min="50" max="52" width="8.0"/>
    <col customWidth="1" hidden="1" min="53" max="53" width="12.5"/>
    <col customWidth="1" hidden="1" min="54" max="54" width="8.0"/>
    <col customWidth="1" hidden="1" min="55" max="55" width="32.25"/>
    <col customWidth="1" hidden="1" min="56" max="56" width="6.38"/>
    <col customWidth="1" hidden="1" min="57" max="57" width="7.13"/>
    <col customWidth="1" hidden="1" min="58" max="61" width="6.38"/>
    <col customWidth="1" hidden="1" min="62" max="66" width="9.25"/>
    <col customWidth="1" hidden="1" min="67" max="67" width="17.63"/>
    <col customWidth="1" hidden="1" min="68" max="72" width="9.25"/>
    <col customWidth="1" hidden="1" min="73" max="74" width="21.25"/>
    <col customWidth="1" hidden="1" min="75" max="75" width="21.75"/>
    <col hidden="1" min="76" max="76" width="12.63"/>
    <col customWidth="1" hidden="1" min="77" max="82" width="9.25"/>
  </cols>
  <sheetData>
    <row r="1" ht="63.0" customHeight="1">
      <c r="A1" s="1" t="s">
        <v>0</v>
      </c>
      <c r="B1" s="2"/>
      <c r="C1" s="3"/>
      <c r="D1" s="3"/>
      <c r="E1" s="3"/>
      <c r="F1" s="4"/>
      <c r="G1" s="4"/>
      <c r="H1" s="4"/>
      <c r="I1" s="3"/>
      <c r="J1" s="3"/>
      <c r="K1" s="3"/>
      <c r="L1" s="3"/>
      <c r="M1" s="3"/>
      <c r="N1" s="3"/>
      <c r="O1" s="3"/>
      <c r="P1" s="4"/>
      <c r="Q1" s="4"/>
      <c r="R1" s="4"/>
      <c r="S1" s="4"/>
      <c r="T1" s="5"/>
      <c r="U1" s="6"/>
      <c r="V1" s="6"/>
      <c r="X1" s="7"/>
      <c r="Y1" s="7"/>
      <c r="Z1" s="7"/>
      <c r="AA1" s="7"/>
      <c r="AB1" s="7"/>
      <c r="AC1" s="7"/>
      <c r="AD1" s="7"/>
      <c r="AE1" s="7"/>
      <c r="AF1" s="7"/>
      <c r="AG1" s="7"/>
      <c r="AH1" s="7"/>
      <c r="AI1" s="7"/>
      <c r="AJ1" s="7"/>
      <c r="AK1" s="7"/>
      <c r="AL1" s="7"/>
      <c r="AM1" s="7"/>
      <c r="AN1" s="7"/>
      <c r="AO1" s="8"/>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9"/>
      <c r="BY1" s="10"/>
      <c r="BZ1" s="7"/>
      <c r="CA1" s="7"/>
      <c r="CB1" s="7"/>
      <c r="CC1" s="7"/>
      <c r="CD1" s="7"/>
    </row>
    <row r="2" ht="22.5" customHeight="1">
      <c r="A2" s="11"/>
      <c r="B2" s="12"/>
      <c r="C2" s="4"/>
      <c r="D2" s="4"/>
      <c r="E2" s="13"/>
      <c r="F2" s="14" t="s">
        <v>1</v>
      </c>
      <c r="G2" s="15"/>
      <c r="H2" s="16"/>
      <c r="I2" s="2"/>
      <c r="J2" s="17" t="s">
        <v>2</v>
      </c>
      <c r="U2" s="18"/>
      <c r="V2" s="19"/>
      <c r="W2" s="20"/>
      <c r="X2" s="7"/>
      <c r="Y2" s="7"/>
      <c r="Z2" s="7"/>
      <c r="AA2" s="7"/>
      <c r="AB2" s="7"/>
      <c r="AC2" s="7"/>
      <c r="AD2" s="7"/>
      <c r="AE2" s="7"/>
      <c r="AF2" s="7"/>
      <c r="AG2" s="7"/>
      <c r="AH2" s="7"/>
      <c r="AI2" s="7"/>
      <c r="AJ2" s="7"/>
      <c r="AK2" s="7"/>
      <c r="AL2" s="7"/>
      <c r="AM2" s="7"/>
      <c r="AN2" s="7"/>
      <c r="AO2" s="8"/>
      <c r="AP2" s="7"/>
      <c r="AQ2" s="21"/>
      <c r="AR2" s="7"/>
      <c r="AS2" s="7"/>
      <c r="AT2" s="7"/>
      <c r="AU2" s="7"/>
      <c r="AV2" s="7"/>
      <c r="AW2" s="7"/>
      <c r="AX2" s="7"/>
      <c r="AY2" s="22"/>
      <c r="AZ2" s="22"/>
      <c r="BA2" s="22"/>
      <c r="BB2" s="22"/>
      <c r="BC2" s="22"/>
      <c r="BD2" s="7"/>
      <c r="BE2" s="7"/>
      <c r="BF2" s="7"/>
      <c r="BG2" s="7"/>
      <c r="BH2" s="7"/>
      <c r="BI2" s="7"/>
      <c r="BJ2" s="7"/>
      <c r="BK2" s="7"/>
      <c r="BL2" s="7"/>
      <c r="BM2" s="7"/>
      <c r="BN2" s="7"/>
      <c r="BO2" s="7"/>
      <c r="BP2" s="7"/>
      <c r="BQ2" s="7"/>
      <c r="BR2" s="7"/>
      <c r="BS2" s="7"/>
      <c r="BT2" s="7"/>
      <c r="BU2" s="7"/>
      <c r="BV2" s="7"/>
      <c r="BW2" s="7"/>
      <c r="BX2" s="9"/>
      <c r="BY2" s="10"/>
      <c r="BZ2" s="7"/>
      <c r="CA2" s="7"/>
      <c r="CB2" s="7"/>
      <c r="CC2" s="7"/>
      <c r="CD2" s="7"/>
    </row>
    <row r="3" ht="28.5" customHeight="1">
      <c r="A3" s="11"/>
      <c r="B3" s="17" t="s">
        <v>3</v>
      </c>
      <c r="H3" s="23"/>
      <c r="I3" s="24"/>
      <c r="J3" s="25" t="s">
        <v>4</v>
      </c>
      <c r="K3" s="26"/>
      <c r="L3" s="26"/>
      <c r="M3" s="26"/>
      <c r="N3" s="26"/>
      <c r="P3" s="27" t="s">
        <v>5</v>
      </c>
      <c r="Q3" s="28"/>
      <c r="R3" s="28"/>
      <c r="S3" s="28"/>
      <c r="T3" s="28"/>
      <c r="V3" s="29"/>
      <c r="W3" s="30"/>
      <c r="X3" s="30"/>
      <c r="Y3" s="30"/>
      <c r="Z3" s="31"/>
      <c r="AJ3" s="31"/>
      <c r="AK3" s="31"/>
      <c r="AL3" s="31"/>
      <c r="AM3" s="31"/>
      <c r="AN3" s="31"/>
      <c r="AO3" s="32"/>
      <c r="AP3" s="31"/>
      <c r="AQ3" s="31"/>
      <c r="AR3" s="31"/>
      <c r="AS3" s="31"/>
      <c r="AT3" s="31"/>
      <c r="AU3" s="31"/>
      <c r="AV3" s="31"/>
      <c r="AW3" s="31"/>
      <c r="AX3" s="31"/>
      <c r="AY3" s="22" t="s">
        <v>6</v>
      </c>
      <c r="AZ3" s="22"/>
      <c r="BA3" s="22" t="s">
        <v>7</v>
      </c>
      <c r="BB3" s="22"/>
      <c r="BC3" s="22"/>
      <c r="BD3" s="33" t="s">
        <v>8</v>
      </c>
      <c r="BE3" s="34"/>
      <c r="BF3" s="34" t="s">
        <v>8</v>
      </c>
      <c r="BG3" s="31"/>
      <c r="BH3" s="31"/>
      <c r="BI3" s="31"/>
      <c r="BJ3" s="31"/>
      <c r="BK3" s="31"/>
      <c r="BL3" s="31"/>
      <c r="BM3" s="31"/>
      <c r="BN3" s="31"/>
      <c r="BO3" s="31"/>
      <c r="BP3" s="31"/>
      <c r="BQ3" s="31"/>
      <c r="BR3" s="31"/>
      <c r="BS3" s="31"/>
      <c r="BT3" s="31"/>
      <c r="BU3" s="31"/>
      <c r="BV3" s="31"/>
      <c r="BW3" s="31"/>
      <c r="BX3" s="9"/>
      <c r="BY3" s="35"/>
      <c r="BZ3" s="31"/>
      <c r="CA3" s="31"/>
      <c r="CB3" s="31"/>
      <c r="CC3" s="31"/>
      <c r="CD3" s="31"/>
    </row>
    <row r="4" ht="14.25" customHeight="1">
      <c r="A4" s="11"/>
      <c r="B4" s="36" t="s">
        <v>9</v>
      </c>
      <c r="C4" s="37"/>
      <c r="D4" s="37"/>
      <c r="E4" s="37"/>
      <c r="F4" s="37"/>
      <c r="G4" s="37"/>
      <c r="H4" s="37"/>
      <c r="I4" s="3"/>
      <c r="J4" s="38" t="s">
        <v>10</v>
      </c>
      <c r="K4" s="38"/>
      <c r="L4" s="38"/>
      <c r="M4" s="38"/>
      <c r="N4" s="38"/>
      <c r="O4" s="38"/>
      <c r="P4" s="27"/>
      <c r="Q4" s="28"/>
      <c r="R4" s="28"/>
      <c r="S4" s="28"/>
      <c r="T4" s="28"/>
      <c r="V4" s="30"/>
      <c r="W4" s="30"/>
      <c r="X4" s="30"/>
      <c r="Y4" s="30"/>
      <c r="Z4" s="7"/>
      <c r="AJ4" s="7"/>
      <c r="AK4" s="7"/>
      <c r="AL4" s="7"/>
      <c r="AM4" s="7"/>
      <c r="AN4" s="7"/>
      <c r="AO4" s="8"/>
      <c r="AP4" s="7"/>
      <c r="AQ4" s="7"/>
      <c r="AR4" s="7"/>
      <c r="AS4" s="7"/>
      <c r="AT4" s="7"/>
      <c r="AU4" s="7"/>
      <c r="AV4" s="7"/>
      <c r="AW4" s="7"/>
      <c r="AX4" s="7"/>
      <c r="AY4" s="22" t="str">
        <f>if(or(AW10=1,and(AW8=2,or(AW10=2,AW10=2,AW10=3,AW10=4))),"Cut (Calorie Deficit)","")</f>
        <v/>
      </c>
      <c r="AZ4" s="22">
        <v>1.0</v>
      </c>
      <c r="BA4" s="22" t="s">
        <v>11</v>
      </c>
      <c r="BB4" s="22">
        <v>1.0</v>
      </c>
      <c r="BC4" s="22"/>
      <c r="BD4" s="39">
        <f>IF($G$5="Lb",1,2)</f>
        <v>2</v>
      </c>
      <c r="BE4" s="39"/>
      <c r="BF4" s="39">
        <f>IF($G$5="Lb",1,2)</f>
        <v>2</v>
      </c>
      <c r="BG4" s="7"/>
      <c r="BH4" s="7"/>
      <c r="BI4" s="7"/>
      <c r="BJ4" s="7"/>
      <c r="BK4" s="7"/>
      <c r="BL4" s="7"/>
      <c r="BM4" s="7"/>
      <c r="BN4" s="7"/>
      <c r="BO4" s="7"/>
      <c r="BP4" s="7"/>
      <c r="BQ4" s="7"/>
      <c r="BR4" s="7"/>
      <c r="BS4" s="7"/>
      <c r="BT4" s="7"/>
      <c r="BU4" s="7"/>
      <c r="BV4" s="7"/>
      <c r="BW4" s="7"/>
      <c r="BX4" s="9"/>
      <c r="BY4" s="10"/>
      <c r="BZ4" s="7"/>
      <c r="CA4" s="7"/>
      <c r="CB4" s="7"/>
      <c r="CC4" s="7"/>
      <c r="CD4" s="7"/>
    </row>
    <row r="5" ht="14.25" customHeight="1">
      <c r="A5" s="11"/>
      <c r="B5" s="40" t="s">
        <v>12</v>
      </c>
      <c r="C5" s="28"/>
      <c r="D5" s="28"/>
      <c r="E5" s="28"/>
      <c r="F5" s="28"/>
      <c r="G5" s="41"/>
      <c r="H5" s="3"/>
      <c r="I5" s="3"/>
      <c r="J5" s="42" t="s">
        <v>13</v>
      </c>
      <c r="K5" s="42"/>
      <c r="L5" s="42"/>
      <c r="M5" s="42"/>
      <c r="N5" s="42"/>
      <c r="O5" s="42"/>
      <c r="V5" s="30"/>
      <c r="W5" s="30"/>
      <c r="X5" s="30"/>
      <c r="Y5" s="30"/>
      <c r="Z5" s="7"/>
      <c r="AJ5" s="7"/>
      <c r="AK5" s="7"/>
      <c r="AL5" s="7"/>
      <c r="AM5" s="7"/>
      <c r="AN5" s="7"/>
      <c r="AO5" s="8"/>
      <c r="AP5" s="7"/>
      <c r="AQ5" s="7"/>
      <c r="AR5" s="7"/>
      <c r="AS5" s="22" t="s">
        <v>14</v>
      </c>
      <c r="AT5" s="7"/>
      <c r="AU5" s="22"/>
      <c r="AV5" s="7"/>
      <c r="AW5" s="7" t="str">
        <f>G9</f>
        <v/>
      </c>
      <c r="AX5" s="7"/>
      <c r="AY5" s="22" t="str">
        <f>if(or(AW8=3),"Maintain ","")</f>
        <v/>
      </c>
      <c r="AZ5" s="22">
        <v>2.0</v>
      </c>
      <c r="BA5" s="22" t="s">
        <v>15</v>
      </c>
      <c r="BB5" s="22">
        <v>2.0</v>
      </c>
      <c r="BC5" s="22"/>
      <c r="BD5" s="39">
        <f>3</f>
        <v>3</v>
      </c>
      <c r="BE5" s="39"/>
      <c r="BF5" s="39">
        <f>3</f>
        <v>3</v>
      </c>
      <c r="BG5" s="7"/>
      <c r="BH5" s="7"/>
      <c r="BI5" s="7"/>
      <c r="BJ5" s="7"/>
      <c r="BK5" s="7"/>
      <c r="BL5" s="7"/>
      <c r="BM5" s="7"/>
      <c r="BN5" s="43"/>
      <c r="BO5" s="43"/>
      <c r="BP5" s="43"/>
      <c r="BQ5" s="43"/>
      <c r="BR5" s="43"/>
      <c r="BS5" s="43"/>
      <c r="BT5" s="43"/>
      <c r="BU5" s="43"/>
      <c r="BV5" s="43"/>
      <c r="BW5" s="43"/>
      <c r="BX5" s="44"/>
      <c r="BY5" s="45"/>
      <c r="BZ5" s="43"/>
      <c r="CA5" s="43"/>
      <c r="CB5" s="43"/>
      <c r="CC5" s="7"/>
      <c r="CD5" s="7"/>
    </row>
    <row r="6" ht="14.25" customHeight="1">
      <c r="A6" s="11"/>
      <c r="B6" s="40" t="s">
        <v>16</v>
      </c>
      <c r="C6" s="28"/>
      <c r="D6" s="28"/>
      <c r="E6" s="28"/>
      <c r="F6" s="28"/>
      <c r="G6" s="46"/>
      <c r="H6" s="47"/>
      <c r="I6" s="3"/>
      <c r="J6" s="42" t="s">
        <v>17</v>
      </c>
      <c r="K6" s="42"/>
      <c r="L6" s="42"/>
      <c r="M6" s="42"/>
      <c r="N6" s="42"/>
      <c r="O6" s="42"/>
      <c r="Q6" s="48"/>
      <c r="T6" s="49"/>
      <c r="V6" s="30"/>
      <c r="W6" s="30"/>
      <c r="X6" s="30"/>
      <c r="Y6" s="30"/>
      <c r="Z6" s="7"/>
      <c r="AA6" s="7"/>
      <c r="AB6" s="7"/>
      <c r="AC6" s="7"/>
      <c r="AD6" s="7"/>
      <c r="AE6" s="7"/>
      <c r="AF6" s="7"/>
      <c r="AG6" s="7"/>
      <c r="AH6" s="7"/>
      <c r="AI6" s="7"/>
      <c r="AJ6" s="22" t="s">
        <v>18</v>
      </c>
      <c r="AK6" s="7"/>
      <c r="AL6" s="7" t="str">
        <f>if($G16="","", 
if(and($G$9="Male",count($G$15:$G$17)=3),
   round(if($G16="","",
           if($G$14="cm",86.01*log($G16-$G17)-70.041*log($G$15)+30.3,
           if($G$14="inch",86.01*log(($G16-$G17)*2.54)-70.041*log($G$15*2.54)+30.3))),0),                                
if( and($G$9="Female",count($G$15:$G$18)=4), 
    round(if($G16="","",
           if($G$14="cm",495/(1.29579-0.35004*log10($G16+$G18-$G17)+0.221 * log10($G$15))-450,
           if($G$14="inch",495/(1.29579-0.35004*log10(($G16+$G18-$G17)*2.54)+0.221*log10($G$15*2.54))-450))),0))))</f>
        <v/>
      </c>
      <c r="AM6" s="7" t="str">
        <f>if(isnumber(AL6),if(AL6&gt;1,AL6,""),"")</f>
        <v/>
      </c>
      <c r="AN6" s="7"/>
      <c r="AO6" s="8"/>
      <c r="AP6" s="7"/>
      <c r="AQ6" s="7"/>
      <c r="AR6" s="7"/>
      <c r="AS6" s="22" t="s">
        <v>19</v>
      </c>
      <c r="AT6" s="7"/>
      <c r="AU6" s="7"/>
      <c r="AV6" s="7"/>
      <c r="AW6" s="8" t="str">
        <f>BY15</f>
        <v/>
      </c>
      <c r="AX6" s="7"/>
      <c r="AY6" s="22" t="str">
        <f>if(and(AW8=1,or(AW10=2,AW10=3,AW10=4)),"Lean Bulk (Calorie Surplus) ","")</f>
        <v/>
      </c>
      <c r="AZ6" s="22">
        <v>3.0</v>
      </c>
      <c r="BA6" s="22" t="s">
        <v>20</v>
      </c>
      <c r="BB6" s="22">
        <v>3.0</v>
      </c>
      <c r="BC6" s="22"/>
      <c r="BD6" s="39">
        <f>SUM(BD4:BD5)</f>
        <v>5</v>
      </c>
      <c r="BE6" s="39"/>
      <c r="BF6" s="39">
        <f>SUM(BF4:BF5)</f>
        <v>5</v>
      </c>
      <c r="BG6" s="7"/>
      <c r="BH6" s="7"/>
      <c r="BI6" s="7"/>
      <c r="BJ6" s="7"/>
      <c r="BK6" s="7"/>
      <c r="BL6" s="7"/>
      <c r="BM6" s="7"/>
      <c r="BN6" s="43"/>
      <c r="BO6" s="43"/>
      <c r="BP6" s="43"/>
      <c r="BQ6" s="43"/>
      <c r="BR6" s="43"/>
      <c r="BS6" s="43"/>
      <c r="BT6" s="43"/>
      <c r="BU6" s="43"/>
      <c r="BV6" s="43"/>
      <c r="BW6" s="43"/>
      <c r="BX6" s="44"/>
      <c r="BY6" s="45"/>
      <c r="BZ6" s="43"/>
      <c r="CA6" s="43"/>
      <c r="CB6" s="43"/>
      <c r="CC6" s="7"/>
      <c r="CD6" s="7"/>
    </row>
    <row r="7" ht="14.25" customHeight="1">
      <c r="A7" s="11"/>
      <c r="B7" s="38" t="s">
        <v>21</v>
      </c>
      <c r="C7" s="50"/>
      <c r="D7" s="50"/>
      <c r="E7" s="50"/>
      <c r="F7" s="50"/>
      <c r="G7" s="51"/>
      <c r="H7" s="52" t="str">
        <f>if($G$5="Lb","lbs",if($G$5="Kg","Kgs",""))</f>
        <v/>
      </c>
      <c r="J7" s="38" t="s">
        <v>22</v>
      </c>
      <c r="M7" s="38"/>
      <c r="N7" s="38"/>
      <c r="O7" s="38"/>
      <c r="P7" s="27"/>
      <c r="Q7" s="28"/>
      <c r="R7" s="28"/>
      <c r="S7" s="28"/>
      <c r="T7" s="28"/>
      <c r="V7" s="30"/>
      <c r="W7" s="30"/>
      <c r="X7" s="30"/>
      <c r="Y7" s="30"/>
      <c r="AB7" s="7"/>
      <c r="AC7" s="7"/>
      <c r="AD7" s="7"/>
      <c r="AE7" s="7"/>
      <c r="AF7" s="7"/>
      <c r="AG7" s="7"/>
      <c r="AH7" s="7"/>
      <c r="AI7" s="7"/>
      <c r="AJ7" s="22" t="s">
        <v>23</v>
      </c>
      <c r="AK7" s="7"/>
      <c r="AL7" s="7" t="str">
        <f>if(and($G$13="Enable",or(count($G$15:$G$17)&lt;&gt;3,$G$14="")),"Warning: Please fill out all steps 3-5 above or disable",if(and($G$19="",$G$13="Enable",count($G$15:$G$17)=3),"Error in BF% Calculation. Check entered values",""))</f>
        <v/>
      </c>
      <c r="AM7" s="7"/>
      <c r="AN7" s="7"/>
      <c r="AO7" s="8"/>
      <c r="AP7" s="7"/>
      <c r="AQ7" s="7"/>
      <c r="AR7" s="7"/>
      <c r="AS7" s="22" t="s">
        <v>24</v>
      </c>
      <c r="AU7" s="7"/>
      <c r="AV7" s="7"/>
      <c r="AW7" s="7" t="str">
        <f>P4</f>
        <v/>
      </c>
      <c r="AX7" s="7"/>
      <c r="AY7" s="22" t="str">
        <f>if(and(AW10=2,AW7="Beginner"),"Recomp ","")</f>
        <v/>
      </c>
      <c r="AZ7" s="22">
        <v>4.0</v>
      </c>
      <c r="BA7" s="22"/>
      <c r="BB7" s="22"/>
      <c r="BC7" s="22"/>
      <c r="BD7" s="53">
        <f>IF(BD6=4,BF36,IF(BD6=5,BG36,IF(BD6=6,BH36,IF(BD6=7,BI36,""))))</f>
        <v>7716.17</v>
      </c>
      <c r="BE7" s="54"/>
      <c r="BF7" s="54">
        <f>IF(BF6=4,BF37,IF(BF6=5,BG37,IF(BF6=6,BH37,IF(BF6=7,BI37,""))))</f>
        <v>28.66006</v>
      </c>
      <c r="BG7" s="7"/>
      <c r="BH7" s="7"/>
      <c r="BI7" s="7"/>
      <c r="BN7" s="55"/>
      <c r="BO7" s="56" t="s">
        <v>25</v>
      </c>
      <c r="BP7" s="43"/>
      <c r="BQ7" s="56" t="b">
        <v>1</v>
      </c>
      <c r="BR7" s="43"/>
      <c r="BS7" s="43"/>
      <c r="BT7" s="43"/>
      <c r="BU7" s="43"/>
      <c r="BV7" s="43"/>
      <c r="BW7" s="43"/>
      <c r="BX7" s="43"/>
      <c r="BY7" s="43"/>
      <c r="BZ7" s="43"/>
      <c r="CA7" s="43"/>
      <c r="CB7" s="43"/>
      <c r="CC7" s="7"/>
      <c r="CD7" s="7"/>
    </row>
    <row r="8" ht="14.25" customHeight="1">
      <c r="A8" s="11"/>
      <c r="B8" s="38" t="s">
        <v>26</v>
      </c>
      <c r="C8" s="50"/>
      <c r="D8" s="50"/>
      <c r="E8" s="50"/>
      <c r="F8" s="57"/>
      <c r="G8" s="58"/>
      <c r="H8" s="52" t="s">
        <v>27</v>
      </c>
      <c r="I8" s="59"/>
      <c r="J8" s="60" t="str">
        <f>AW11</f>
        <v/>
      </c>
      <c r="K8" s="6"/>
      <c r="L8" s="6"/>
      <c r="M8" s="6"/>
      <c r="N8" s="6"/>
      <c r="O8" s="6"/>
      <c r="P8" s="6"/>
      <c r="Q8" s="6"/>
      <c r="R8" s="6"/>
      <c r="S8" s="6"/>
      <c r="T8" s="6"/>
      <c r="V8" s="30"/>
      <c r="W8" s="30"/>
      <c r="X8" s="30"/>
      <c r="Y8" s="30"/>
      <c r="AE8" s="7"/>
      <c r="AF8" s="7"/>
      <c r="AG8" s="7"/>
      <c r="AH8" s="7"/>
      <c r="AI8" s="7"/>
      <c r="AJ8" s="7"/>
      <c r="AK8" s="7"/>
      <c r="AL8" s="7"/>
      <c r="AM8" s="7"/>
      <c r="AN8" s="7"/>
      <c r="AO8" s="8"/>
      <c r="AP8" s="7"/>
      <c r="AQ8" s="7"/>
      <c r="AR8" s="7"/>
      <c r="AS8" s="61" t="s">
        <v>7</v>
      </c>
      <c r="AW8" t="str">
        <f>if(P7=BA4,BB4,if(P7=BA5,BB5,if(P7=BA6,BB6,if(P7=BA7,BB7,0))))</f>
        <v/>
      </c>
      <c r="AX8" s="7"/>
      <c r="AY8" s="22"/>
      <c r="AZ8" s="22"/>
      <c r="BA8" s="22"/>
      <c r="BB8" s="22"/>
      <c r="BC8" s="22"/>
      <c r="BF8" s="7"/>
      <c r="BG8" s="7"/>
      <c r="BH8" s="7"/>
      <c r="BI8" s="7"/>
      <c r="BN8" s="55"/>
      <c r="BO8" s="43"/>
      <c r="BP8" s="43"/>
      <c r="BQ8" s="43"/>
      <c r="BR8" s="43"/>
      <c r="BS8" s="43"/>
      <c r="BT8" s="43"/>
      <c r="BU8" s="43"/>
      <c r="BV8" s="43"/>
      <c r="BW8" s="43"/>
      <c r="BX8" s="43"/>
      <c r="BY8" s="43"/>
      <c r="BZ8" s="43"/>
      <c r="CA8" s="43"/>
      <c r="CB8" s="43"/>
      <c r="CC8" s="7"/>
      <c r="CD8" s="7"/>
    </row>
    <row r="9" ht="14.25" customHeight="1">
      <c r="A9" s="11"/>
      <c r="B9" s="62" t="s">
        <v>28</v>
      </c>
      <c r="C9" s="63"/>
      <c r="D9" s="63"/>
      <c r="E9" s="63"/>
      <c r="F9" s="63"/>
      <c r="G9" s="27"/>
      <c r="H9" s="50"/>
      <c r="I9" s="59"/>
      <c r="J9" s="64"/>
      <c r="K9" s="37"/>
      <c r="L9" s="37"/>
      <c r="M9" s="37"/>
      <c r="N9" s="37"/>
      <c r="O9" s="37"/>
      <c r="P9" s="37"/>
      <c r="Q9" s="37"/>
      <c r="R9" s="37"/>
      <c r="S9" s="37"/>
      <c r="T9" s="37"/>
      <c r="V9" s="30"/>
      <c r="W9" s="30"/>
      <c r="X9" s="30"/>
      <c r="Y9" s="30"/>
      <c r="Z9" s="7"/>
      <c r="AA9" s="7"/>
      <c r="AE9" s="7"/>
      <c r="AF9" s="7"/>
      <c r="AG9" s="7"/>
      <c r="AH9" s="7"/>
      <c r="AI9" s="7"/>
      <c r="AJ9" s="7"/>
      <c r="AK9" s="7"/>
      <c r="AL9" s="7"/>
      <c r="AM9" s="7"/>
      <c r="AN9" s="7"/>
      <c r="AO9" s="8"/>
      <c r="AP9" s="7"/>
      <c r="AQ9" s="7"/>
      <c r="AR9" s="7"/>
      <c r="AS9" s="22" t="s">
        <v>29</v>
      </c>
      <c r="AU9" s="7"/>
      <c r="AV9" s="7"/>
      <c r="AW9" s="22" t="str">
        <f>if(AW8&lt;&gt;"",if(P11=AY4,AZ4,if(P11=AY5,AZ5,if(P11=AY6,AZ6,if(P11=AY7,AZ7,0)))),"")</f>
        <v/>
      </c>
      <c r="AY9" s="7"/>
      <c r="AZ9" s="7"/>
      <c r="BA9" s="7"/>
      <c r="BB9" s="7"/>
      <c r="BF9" s="7"/>
      <c r="BG9" s="7"/>
      <c r="BH9" s="7"/>
      <c r="BI9" s="7"/>
      <c r="BN9" s="55"/>
      <c r="BO9" s="43"/>
      <c r="BP9" s="43"/>
      <c r="BQ9" s="43"/>
      <c r="BR9" s="43"/>
      <c r="BS9" s="43"/>
      <c r="BT9" s="43"/>
      <c r="BU9" s="43"/>
      <c r="BV9" s="43"/>
      <c r="BW9" s="43"/>
      <c r="BX9" s="43"/>
      <c r="BY9" s="43"/>
      <c r="BZ9" s="43"/>
      <c r="CA9" s="43"/>
      <c r="CB9" s="43"/>
      <c r="CC9" s="7"/>
      <c r="CD9" s="7"/>
    </row>
    <row r="10" ht="15.75" customHeight="1">
      <c r="A10" s="11"/>
      <c r="B10" s="65" t="str">
        <f>if(or(count($G$7:$G$8)&lt;&gt;2,$G$9=""),"Please fill out all items 1-4 above",if(and(count($G$7:$G$8)=2,$G$9&lt;&gt;""),"Warning: After inputting, please DON'T update items 2 and 3 above.",""))</f>
        <v>Please fill out all items 1-4 above</v>
      </c>
      <c r="H10" s="66"/>
      <c r="I10" s="59"/>
      <c r="J10" s="67" t="str">
        <f>BC10</f>
        <v/>
      </c>
      <c r="V10" s="30"/>
      <c r="W10" s="30"/>
      <c r="X10" s="30"/>
      <c r="Y10" s="30"/>
      <c r="AB10" s="7"/>
      <c r="AC10" s="7"/>
      <c r="AD10" s="7"/>
      <c r="AE10" s="7"/>
      <c r="AF10" s="7"/>
      <c r="AG10" s="7"/>
      <c r="AH10" s="7"/>
      <c r="AI10" s="7"/>
      <c r="AJ10" s="7"/>
      <c r="AK10" s="7"/>
      <c r="AL10" s="7"/>
      <c r="AM10" s="7"/>
      <c r="AN10" s="7"/>
      <c r="AO10" s="8"/>
      <c r="AP10" s="7"/>
      <c r="AQ10" s="7"/>
      <c r="AR10" s="7"/>
      <c r="AS10" s="61" t="s">
        <v>30</v>
      </c>
      <c r="AW10">
        <f>if(AW5="Male",   
          if(AW8=3,0,
          if(AW6&gt;=20, 1,
          if(AW6&gt;15, 2,
          if(AW6&gt;12, 3,4)))),
 if(AW5="Female", 
          if(AW8=3,0,
          if(AW6&gt;=30,1,
          if(AW6&gt;25,2,
          if(AW6&gt;22,3,4)))),0))</f>
        <v>0</v>
      </c>
      <c r="AX10" s="7"/>
      <c r="AY10" s="22" t="s">
        <v>31</v>
      </c>
      <c r="AZ10" s="7"/>
      <c r="BA10" s="7"/>
      <c r="BB10" s="7">
        <f>if(AW5="Male",   
          if(AW8=3,0,
          if(BY21&gt;=20, 1,
          if(BY21&gt;15, 2,
          if(BY21&gt;12, 3,4)))),
 if(AW5="Female", 
          if(AW8=3,0,
          if(BY21&gt;=30,1,
          if(BY21&gt;25,2,
          if(BY21&gt;22,3,4)))),0))</f>
        <v>0</v>
      </c>
      <c r="BC10" t="str">
        <f>if(AND(BB10&lt;&gt;AW10,AW9=0), "BF% Has changed and your recommended phase needs to be updated","")</f>
        <v/>
      </c>
      <c r="BF10" s="7"/>
      <c r="BG10" s="7"/>
      <c r="BH10" s="7"/>
      <c r="BI10" s="7"/>
      <c r="BN10" s="55"/>
      <c r="BO10" s="43"/>
      <c r="BP10" s="43"/>
      <c r="BQ10" s="43"/>
      <c r="BR10" s="43"/>
      <c r="BS10" s="43"/>
      <c r="BT10" s="43"/>
      <c r="BU10" s="43"/>
      <c r="BV10" s="43"/>
      <c r="BW10" s="43"/>
      <c r="BX10" s="43"/>
      <c r="BY10" s="43"/>
      <c r="BZ10" s="43"/>
      <c r="CA10" s="43"/>
      <c r="CB10" s="43"/>
      <c r="CC10" s="7"/>
      <c r="CD10" s="7"/>
    </row>
    <row r="11" ht="15.75" customHeight="1">
      <c r="A11" s="68"/>
      <c r="B11" s="37"/>
      <c r="C11" s="37"/>
      <c r="D11" s="37"/>
      <c r="E11" s="37"/>
      <c r="F11" s="37"/>
      <c r="G11" s="37"/>
      <c r="H11" s="69"/>
      <c r="I11" s="70"/>
      <c r="J11" s="38" t="s">
        <v>32</v>
      </c>
      <c r="M11" s="38"/>
      <c r="N11" s="38"/>
      <c r="O11" s="38"/>
      <c r="P11" s="27"/>
      <c r="Q11" s="28"/>
      <c r="R11" s="28"/>
      <c r="S11" s="28"/>
      <c r="T11" s="28"/>
      <c r="U11" s="71" t="s">
        <v>33</v>
      </c>
      <c r="V11" s="6"/>
      <c r="X11" s="30"/>
      <c r="Y11" s="30"/>
      <c r="Z11" s="29"/>
      <c r="AA11" s="29"/>
      <c r="AB11" s="72"/>
      <c r="AC11" s="73"/>
      <c r="AD11" s="73"/>
      <c r="AE11" s="74"/>
      <c r="AF11" s="75"/>
      <c r="AG11" s="74"/>
      <c r="AI11" s="7"/>
      <c r="AJ11" s="7"/>
      <c r="AK11" s="7"/>
      <c r="AL11" s="7"/>
      <c r="AM11" s="7"/>
      <c r="AN11" s="7"/>
      <c r="AO11" s="8"/>
      <c r="AP11" s="7"/>
      <c r="AQ11" s="7"/>
      <c r="AR11" s="7"/>
      <c r="AS11" s="22" t="s">
        <v>34</v>
      </c>
      <c r="AT11" s="7"/>
      <c r="AU11" s="7"/>
      <c r="AV11" s="7"/>
      <c r="AW11" s="7" t="str">
        <f>if(AW8="","",CONCATENATE("Based on your BF% and goal we suggest that you ", AY4, if(and(ne(AY4,""),or(ne(AY5,""),ne(AY6,""),ne(AY7,""))), " or ", ""), AY5, if(and(ne(AY5,""),or(ne(AY6,""),ne(AY7,""))), " or ", ""), AY6, if(and(ne(AY6,""),ne(AY7,"")), " or ", ""),AY7))</f>
        <v/>
      </c>
      <c r="AX11" s="7"/>
      <c r="AY11" s="7"/>
      <c r="AZ11" s="7"/>
      <c r="BA11" s="7"/>
      <c r="BB11" s="7"/>
      <c r="BF11" s="7"/>
      <c r="BG11" s="22"/>
      <c r="BH11" s="7"/>
      <c r="BI11" s="7"/>
      <c r="BN11" s="55"/>
      <c r="BO11" s="76"/>
      <c r="BP11" s="43"/>
      <c r="BQ11" s="43"/>
      <c r="BR11" s="76"/>
      <c r="BS11" s="76"/>
      <c r="BT11" s="76"/>
      <c r="BU11" s="43"/>
      <c r="BV11" s="43"/>
      <c r="BW11" s="43"/>
      <c r="BX11" s="43"/>
      <c r="BY11" s="43"/>
      <c r="BZ11" s="43"/>
      <c r="CA11" s="43"/>
      <c r="CB11" s="43"/>
      <c r="CC11" s="7"/>
      <c r="CD11" s="7"/>
    </row>
    <row r="12" ht="15.75" customHeight="1">
      <c r="A12" s="68"/>
      <c r="B12" s="77"/>
      <c r="C12" s="78"/>
      <c r="D12" s="78"/>
      <c r="E12" s="78"/>
      <c r="F12" s="78"/>
      <c r="G12" s="79"/>
      <c r="H12" s="80"/>
      <c r="I12" s="70"/>
      <c r="J12" s="81" t="s">
        <v>35</v>
      </c>
      <c r="P12" s="82" t="str">
        <f>$AW14</f>
        <v/>
      </c>
      <c r="Q12" s="52" t="str">
        <f>if($G$5="Lb","lbs",if($G$5="Kg","Kgs",""))</f>
        <v/>
      </c>
      <c r="V12" s="30"/>
      <c r="W12" s="30"/>
      <c r="X12" s="30"/>
      <c r="Y12" s="30"/>
      <c r="Z12" s="30"/>
      <c r="AA12" s="30"/>
      <c r="AB12" s="83"/>
      <c r="AC12" s="73"/>
      <c r="AD12" s="73"/>
      <c r="AE12" s="74"/>
      <c r="AF12" s="75"/>
      <c r="AG12" s="74"/>
      <c r="AI12" s="7"/>
      <c r="AJ12" s="7"/>
      <c r="AK12" s="7"/>
      <c r="AL12" s="7"/>
      <c r="AM12" s="7"/>
      <c r="AN12" s="7"/>
      <c r="AO12" s="8"/>
      <c r="AP12" s="7"/>
      <c r="AQ12" s="7"/>
      <c r="AR12" s="7"/>
      <c r="AX12" s="22" t="s">
        <v>36</v>
      </c>
      <c r="AY12" s="22" t="s">
        <v>37</v>
      </c>
      <c r="AZ12" s="7"/>
      <c r="BA12" s="7"/>
      <c r="BB12" s="7"/>
      <c r="BF12" s="7"/>
      <c r="BG12" s="22"/>
      <c r="BH12" s="7"/>
      <c r="BI12" s="7"/>
      <c r="BN12" s="55"/>
      <c r="BO12" s="76"/>
      <c r="BP12" s="43"/>
      <c r="BQ12" s="43"/>
      <c r="BR12" s="76"/>
      <c r="BS12" s="76"/>
      <c r="BT12" s="76"/>
      <c r="BU12" s="43"/>
      <c r="BV12" s="43"/>
      <c r="BW12" s="43"/>
      <c r="BX12" s="43"/>
      <c r="BY12" s="43"/>
      <c r="BZ12" s="43"/>
      <c r="CA12" s="43"/>
      <c r="CB12" s="43"/>
      <c r="CC12" s="7"/>
      <c r="CD12" s="7"/>
    </row>
    <row r="13" ht="15.75" customHeight="1">
      <c r="A13" s="68"/>
      <c r="B13" s="84" t="s">
        <v>38</v>
      </c>
      <c r="C13" s="26"/>
      <c r="D13" s="26"/>
      <c r="E13" s="26"/>
      <c r="F13" s="26"/>
      <c r="G13" s="85" t="s">
        <v>39</v>
      </c>
      <c r="H13" s="86"/>
      <c r="I13" s="70"/>
      <c r="J13" s="87" t="s">
        <v>40</v>
      </c>
      <c r="U13" s="30"/>
      <c r="V13" s="30"/>
      <c r="W13" s="30"/>
      <c r="X13" s="30"/>
      <c r="Y13" s="30"/>
      <c r="Z13" s="7"/>
      <c r="AA13" s="7"/>
      <c r="AB13" s="38" t="s">
        <v>41</v>
      </c>
      <c r="AC13" s="50"/>
      <c r="AD13" s="50"/>
      <c r="AE13" s="41" t="str">
        <f>G7</f>
        <v/>
      </c>
      <c r="AF13" s="88" t="str">
        <f>if($G$5="Lb","lbs","Kgs")</f>
        <v>Kgs</v>
      </c>
      <c r="AG13" s="41" t="str">
        <f>if(E38="",AE13,E38)</f>
        <v/>
      </c>
      <c r="AI13" s="7"/>
      <c r="AJ13" s="7"/>
      <c r="AK13" s="7"/>
      <c r="AL13" s="7"/>
      <c r="AM13" s="7"/>
      <c r="AN13" s="7"/>
      <c r="AO13" s="8"/>
      <c r="AP13" s="7"/>
      <c r="AQ13" s="7"/>
      <c r="AR13" s="7"/>
      <c r="AS13" s="22" t="s">
        <v>42</v>
      </c>
      <c r="AU13" s="7"/>
      <c r="AV13" s="22"/>
      <c r="AW13" s="7">
        <f>if(AW5="Male", AX13,  
 if(AW5="Female",  AY13, 0))</f>
        <v>0</v>
      </c>
      <c r="AX13" s="7">
        <f>if(AW7="Beginner",
          if(AW9=2,0,
          if(AW6&gt;=20, -0.7,
          if(AW6&gt;15, 
               if(AW9=3,1.5/4,
               if(AW9=1,-0.7,0)),
          if(AW6&gt;12, 
               if(AW9=3,1.5/4,
               if(AW9=1,-0.5,0)),
          if(AW6&lt;=12, 
               if(AW9=3,1.5/4,
               if(AW9=1,-0.3,0)),0))))),
    if(AW7="Intermediate",
          if(AW9=2,0,
          if(AW6&gt;=20, -0.7,
          if(AW6&gt;15, 
               if(AW9=3,1/4,
               if(AW9=1,-0.7,0)),
          if(AW6&gt;12, 
               if(AW9=3,1/4,
               if(AW9=1,-0.5,0)),
          if(AW6&lt;=12, 
               if(AW9=3,1/4,
               if(AW9=1,-0.3,0)),0))))),0))
</f>
        <v>0</v>
      </c>
      <c r="AY13" s="7">
        <f>if(AW7="Beginner",
          if(AW9=2,0,
          if(AW6&gt;=30, -0.7,
          if(AW6&gt;25, 
               if(AW9=3,1/4,
               if(AW9=1,-0.7,0)),
          if(AW6&gt;22, 
               if(AW9=3,1/4,
               if(AW9=1,-0.5,0)),
          if(AW6&lt;=22, 
               if(AW9=3,1/4,
               if(AW9=1,-0.3,0)),0))))),
    if(AW7="Intermediate",
          if(AW9=2,0,
          if(AW6&gt;=30, -0.7,
          if(AW6&gt;25, 
               if(AW9=3,0.5/4,
               if(AW9=1,-0.7,0)),
          if(AW6&gt;22, 
               if(AW9=3,0.5/4,
               if(AW9=1,-0.5,0)),
          if(AW6&lt;=22, 
               if(AW9=3,0.5/4,
               if(AW9=1,-0.3,0)),0))))),0))
</f>
        <v>0</v>
      </c>
      <c r="BA13" s="7"/>
      <c r="BB13" s="7"/>
      <c r="BF13" s="7"/>
      <c r="BG13" s="22"/>
      <c r="BH13" s="7"/>
      <c r="BI13" s="7"/>
      <c r="BN13" s="55"/>
      <c r="BO13" s="76" t="s">
        <v>43</v>
      </c>
      <c r="BP13" s="43"/>
      <c r="BQ13" s="43"/>
      <c r="BR13" s="76"/>
      <c r="BS13" s="76"/>
      <c r="BT13" s="76" t="s">
        <v>44</v>
      </c>
      <c r="BU13" s="43"/>
      <c r="BV13" s="43"/>
      <c r="BW13" s="43"/>
      <c r="BX13" s="43"/>
      <c r="BY13" s="43"/>
      <c r="BZ13" s="43"/>
      <c r="CA13" s="43"/>
      <c r="CB13" s="43"/>
      <c r="CC13" s="7"/>
      <c r="CD13" s="7"/>
    </row>
    <row r="14" ht="15.75" customHeight="1">
      <c r="A14" s="11"/>
      <c r="B14" s="62" t="s">
        <v>45</v>
      </c>
      <c r="G14" s="27"/>
      <c r="H14" s="89"/>
      <c r="I14" s="30"/>
      <c r="V14" s="30"/>
      <c r="W14" s="30"/>
      <c r="X14" s="30"/>
      <c r="Y14" s="30"/>
      <c r="Z14" s="7"/>
      <c r="AA14" s="7"/>
      <c r="AB14" s="7"/>
      <c r="AC14" s="7"/>
      <c r="AD14" s="7"/>
      <c r="AE14" s="7"/>
      <c r="AF14" s="7"/>
      <c r="AG14" s="7"/>
      <c r="AH14" s="7"/>
      <c r="AI14" s="7"/>
      <c r="AJ14" s="7"/>
      <c r="AK14" s="7"/>
      <c r="AL14" s="7"/>
      <c r="AM14" s="7"/>
      <c r="AN14" s="7"/>
      <c r="AO14" s="8"/>
      <c r="AP14" s="7"/>
      <c r="AQ14" s="7"/>
      <c r="AR14" s="7"/>
      <c r="AS14" s="22" t="s">
        <v>46</v>
      </c>
      <c r="AV14" s="7"/>
      <c r="AW14" s="7" t="str">
        <f>if(and(P3="Enable",P3&lt;&gt;"",P4&lt;&gt;"",P11&lt;&gt;"",P7&lt;&gt;""),if(AW9=4,if(G5="Lbs",-0.5,-0.227),(AW13/100)*BY14),"")</f>
        <v/>
      </c>
      <c r="AX14" s="7"/>
      <c r="AY14" s="7"/>
      <c r="AZ14" s="7"/>
      <c r="BA14" s="7"/>
      <c r="BB14" s="7"/>
      <c r="BC14" s="90" t="s">
        <v>47</v>
      </c>
      <c r="BD14" s="91"/>
      <c r="BF14" s="7"/>
      <c r="BG14" s="7"/>
      <c r="BH14" s="7"/>
      <c r="BI14" s="7"/>
      <c r="BN14" s="55"/>
      <c r="BO14" s="92" t="str">
        <f>if(BD24=FALSE,"",G7*$BD$18)</f>
        <v/>
      </c>
      <c r="BP14" s="43"/>
      <c r="BQ14" s="43"/>
      <c r="BR14" s="56"/>
      <c r="BS14" s="56"/>
      <c r="BT14" s="56" t="s">
        <v>48</v>
      </c>
      <c r="BU14" s="43"/>
      <c r="BV14" s="43"/>
      <c r="BW14" s="55"/>
      <c r="BX14" s="43"/>
      <c r="BY14" s="43" t="str">
        <f>IFERROR(__xludf.DUMMYFUNCTION("if(count($BO36:$BO140)&gt;0,index(filter($BO36:$BO140,$BO36:$BO140 &lt;&gt;""""),count($BO36:$BO140)),G7)"),"")</f>
        <v/>
      </c>
      <c r="BZ14" s="43"/>
      <c r="CA14" s="43"/>
      <c r="CB14" s="43"/>
      <c r="CC14" s="7"/>
      <c r="CD14" s="7"/>
    </row>
    <row r="15">
      <c r="A15" s="11"/>
      <c r="B15" s="62" t="s">
        <v>49</v>
      </c>
      <c r="C15" s="93"/>
      <c r="D15" s="93"/>
      <c r="E15" s="93"/>
      <c r="F15" s="94"/>
      <c r="G15" s="95"/>
      <c r="H15" s="96" t="str">
        <f t="shared" ref="H15:H17" si="1">IF($G$14="Inch","in",IF($G$14="cm","cm",""))</f>
        <v/>
      </c>
      <c r="I15" s="30"/>
      <c r="V15" s="30"/>
      <c r="W15" s="30"/>
      <c r="X15" s="30"/>
      <c r="Y15" s="30"/>
      <c r="Z15" s="7"/>
      <c r="AA15" s="7"/>
      <c r="AB15" s="7"/>
      <c r="AC15" s="7"/>
      <c r="AD15" s="7"/>
      <c r="AE15" s="7"/>
      <c r="AF15" s="7"/>
      <c r="AG15" s="7"/>
      <c r="AH15" s="7"/>
      <c r="AI15" s="7"/>
      <c r="AJ15" s="7"/>
      <c r="AK15" s="7"/>
      <c r="AL15" s="7"/>
      <c r="AM15" s="7"/>
      <c r="AN15" s="7"/>
      <c r="AO15" s="8"/>
      <c r="AP15" s="7"/>
      <c r="AQ15" s="7"/>
      <c r="AR15" s="7"/>
      <c r="AS15" s="22" t="s">
        <v>50</v>
      </c>
      <c r="AT15" s="7"/>
      <c r="AU15" s="97"/>
      <c r="AV15" s="7"/>
      <c r="AW15" s="7" t="str">
        <f>if(P3="Enable",AW14,Q16)</f>
        <v/>
      </c>
      <c r="AX15" s="7"/>
      <c r="AY15" s="7"/>
      <c r="AZ15" s="7"/>
      <c r="BA15" s="7"/>
      <c r="BB15" s="7"/>
      <c r="BC15" s="98" t="s">
        <v>51</v>
      </c>
      <c r="BD15" s="99" t="str">
        <f>if($BD$24=TRUE,if($G$9="Male",1.5,if($G$9="Female",1.55,"")),"")</f>
        <v/>
      </c>
      <c r="BE15" s="7"/>
      <c r="BF15" s="7"/>
      <c r="BG15" s="7"/>
      <c r="BH15" s="7"/>
      <c r="BI15" s="7"/>
      <c r="BN15" s="55"/>
      <c r="BO15" s="43" t="str">
        <f>if(BD24=FALSE,"",round($G$7*$BD$16,0)&amp; " - " &amp;round($G$7*$BD17,0))</f>
        <v/>
      </c>
      <c r="BP15" s="43"/>
      <c r="BQ15" s="43"/>
      <c r="BR15" s="56"/>
      <c r="BS15" s="56"/>
      <c r="BT15" s="56" t="s">
        <v>52</v>
      </c>
      <c r="BU15" s="43"/>
      <c r="BV15" s="43"/>
      <c r="BW15" s="55"/>
      <c r="BX15" s="43"/>
      <c r="BY15" s="100" t="str">
        <f>if(count(BT$36:BT140)&gt;0,$BT$141,$G$8)</f>
        <v/>
      </c>
      <c r="BZ15" s="43"/>
      <c r="CA15" s="43"/>
      <c r="CB15" s="43"/>
      <c r="CC15" s="7"/>
      <c r="CD15" s="7"/>
    </row>
    <row r="16" ht="16.5" customHeight="1">
      <c r="A16" s="11"/>
      <c r="B16" s="62" t="s">
        <v>53</v>
      </c>
      <c r="C16" s="93"/>
      <c r="D16" s="93"/>
      <c r="E16" s="93"/>
      <c r="F16" s="94"/>
      <c r="G16" s="101"/>
      <c r="H16" s="96" t="str">
        <f t="shared" si="1"/>
        <v/>
      </c>
      <c r="I16" s="3"/>
      <c r="J16" s="102" t="str">
        <f>concatenate("4) Enter your goal weight change per week (-/+ ",G5,") if you want a different goal than recommended above")</f>
        <v>4) Enter your goal weight change per week (-/+ ) if you want a different goal than recommended above</v>
      </c>
      <c r="K16" s="6"/>
      <c r="L16" s="6"/>
      <c r="M16" s="6"/>
      <c r="N16" s="6"/>
      <c r="O16" s="6"/>
      <c r="P16" s="103"/>
      <c r="Q16" s="104"/>
      <c r="R16" s="52" t="str">
        <f>if($G$5="Lb","lbs",if($G$5="Kg","Kgs",""))</f>
        <v/>
      </c>
      <c r="T16" s="30"/>
      <c r="U16" s="105" t="s">
        <v>54</v>
      </c>
      <c r="V16" s="71"/>
      <c r="W16" s="71"/>
      <c r="X16" s="71"/>
      <c r="Z16" s="106"/>
      <c r="AA16" s="107"/>
      <c r="AB16" s="7"/>
      <c r="AC16" s="7"/>
      <c r="AD16" s="7"/>
      <c r="AE16" s="7"/>
      <c r="AF16" s="7"/>
      <c r="AG16" s="7"/>
      <c r="AH16" s="7"/>
      <c r="AI16" s="7"/>
      <c r="AJ16" s="7"/>
      <c r="AK16" s="7"/>
      <c r="AL16" s="7"/>
      <c r="AM16" s="7"/>
      <c r="AN16" s="7"/>
      <c r="AO16" s="8"/>
      <c r="AP16" s="7"/>
      <c r="AQ16" s="7"/>
      <c r="AR16" s="7"/>
      <c r="AS16" s="7"/>
      <c r="AT16" s="7"/>
      <c r="AU16" s="97"/>
      <c r="AV16" s="7"/>
      <c r="AW16" s="7"/>
      <c r="AX16" s="7"/>
      <c r="AY16" s="7"/>
      <c r="AZ16" s="7"/>
      <c r="BA16" s="7"/>
      <c r="BB16" s="7"/>
      <c r="BC16" s="98" t="s">
        <v>55</v>
      </c>
      <c r="BD16" s="108" t="str">
        <f>if($BD$24=TRUE,if($G$9="Male",if(and($G$5="lb",$G$8&lt;20),0.8,if(and($G$5="lb",$G$8&gt;=20),0.73,if(and($G$5="kg",$G$8&lt;20),1.76,if(and($G$5="kg",$G$8&gt;=20),1.606)))),if($G$5="lb",0.8,1.7778)),"")</f>
        <v/>
      </c>
      <c r="BE16" s="22"/>
      <c r="BF16" s="7"/>
      <c r="BG16" s="7"/>
      <c r="BH16" s="7"/>
      <c r="BI16" s="7"/>
      <c r="BN16" s="55"/>
      <c r="BO16" s="43"/>
      <c r="BP16" s="43"/>
      <c r="BQ16" s="43"/>
      <c r="BR16" s="56"/>
      <c r="BS16" s="56"/>
      <c r="BT16" s="56" t="s">
        <v>56</v>
      </c>
      <c r="BU16" s="43"/>
      <c r="BV16" s="43"/>
      <c r="BW16" s="55"/>
      <c r="BX16" s="43"/>
      <c r="BY16" s="43" t="str">
        <f>IFERROR(__xludf.DUMMYFUNCTION("if(count(BV$36:BV140)&gt;0,index(filter(BV$36:BV140,BV$36:BV140 &lt;&gt;""""),count(BV$36:BV140)),$BD$18)"),"")</f>
        <v/>
      </c>
      <c r="BZ16" s="43"/>
      <c r="CA16" s="43"/>
      <c r="CB16" s="43"/>
      <c r="CC16" s="7"/>
      <c r="CD16" s="7"/>
    </row>
    <row r="17" ht="16.5" customHeight="1">
      <c r="A17" s="11"/>
      <c r="B17" s="62" t="s">
        <v>57</v>
      </c>
      <c r="C17" s="93"/>
      <c r="D17" s="93"/>
      <c r="E17" s="93"/>
      <c r="F17" s="94"/>
      <c r="G17" s="101"/>
      <c r="H17" s="96" t="str">
        <f t="shared" si="1"/>
        <v/>
      </c>
      <c r="I17" s="3"/>
      <c r="J17" s="37"/>
      <c r="K17" s="37"/>
      <c r="L17" s="37"/>
      <c r="M17" s="37"/>
      <c r="N17" s="37"/>
      <c r="O17" s="37"/>
      <c r="P17" s="69"/>
      <c r="Q17" s="30"/>
      <c r="R17" s="30"/>
      <c r="S17" s="30"/>
      <c r="T17" s="30"/>
      <c r="U17" s="30"/>
      <c r="V17" s="109"/>
      <c r="W17" s="109"/>
      <c r="X17" s="109"/>
      <c r="Y17" s="109"/>
      <c r="Z17" s="109"/>
      <c r="AA17" s="110"/>
      <c r="AB17" s="7"/>
      <c r="AC17" s="7"/>
      <c r="AD17" s="7"/>
      <c r="AE17" s="7"/>
      <c r="AF17" s="7"/>
      <c r="AG17" s="7"/>
      <c r="AH17" s="7"/>
      <c r="AI17" s="7"/>
      <c r="AJ17" s="7"/>
      <c r="AK17" s="7"/>
      <c r="AL17" s="7"/>
      <c r="AM17" s="7"/>
      <c r="AN17" s="7"/>
      <c r="AO17" s="8"/>
      <c r="AP17" s="7"/>
      <c r="AQ17" s="7"/>
      <c r="AR17" s="7"/>
      <c r="AS17" s="61" t="s">
        <v>58</v>
      </c>
      <c r="AT17" s="7"/>
      <c r="AU17" s="7"/>
      <c r="AV17" s="7"/>
      <c r="AW17" s="97" t="str">
        <f>if(BD24=FALSE,"",if(G5="lb",((AW15*3500)/7),if(G5="Kg",((AW15*7700)/7),"")))</f>
        <v/>
      </c>
      <c r="AX17" s="7"/>
      <c r="AY17" s="7"/>
      <c r="AZ17" s="7"/>
      <c r="BA17" s="7"/>
      <c r="BB17" s="7"/>
      <c r="BC17" s="98" t="s">
        <v>59</v>
      </c>
      <c r="BD17" s="108" t="str">
        <f>if($BD$24=TRUE,if($G$9="Male",if(and($G$5="lb",$G$8&lt;20),1.2,if(and($G$5="lb",$G$8&gt;=20),1,if(and($G$5="kg",$G$8&lt;20),2.64,if(and($G$5="kg",$G$8&gt;=20),2.2)))),if($G$5="lb",1.2,2.6667)),"")</f>
        <v/>
      </c>
      <c r="BE17" s="22"/>
      <c r="BF17" s="7"/>
      <c r="BG17" s="7"/>
      <c r="BH17" s="7"/>
      <c r="BI17" s="7"/>
      <c r="BN17" s="55"/>
      <c r="BO17" s="43"/>
      <c r="BP17" s="43"/>
      <c r="BQ17" s="43"/>
      <c r="BR17" s="56"/>
      <c r="BS17" s="56"/>
      <c r="BT17" s="56" t="s">
        <v>60</v>
      </c>
      <c r="BU17" s="43"/>
      <c r="BV17" s="43"/>
      <c r="BW17" s="43"/>
      <c r="BX17" s="43"/>
      <c r="BY17" s="92" t="str">
        <f>IFERROR(__xludf.DUMMYFUNCTION("if(count(BW$36:BW140)&gt;0,index(filter(BW$36:BW140,BW$36:BW140 &lt;&gt;""""),count(BW$36:BW140)),$G$7)"),"")</f>
        <v/>
      </c>
      <c r="BZ17" s="43"/>
      <c r="CA17" s="43"/>
      <c r="CB17" s="43"/>
      <c r="CC17" s="7"/>
      <c r="CD17" s="7"/>
    </row>
    <row r="18" ht="15.75" customHeight="1">
      <c r="A18" s="11"/>
      <c r="B18" s="111" t="str">
        <f>if($G$9="Male","",if($G$9="Female","Step 6: Enter your Hip Measurement:",""))</f>
        <v/>
      </c>
      <c r="C18" s="112"/>
      <c r="D18" s="112"/>
      <c r="E18" s="112"/>
      <c r="F18" s="113"/>
      <c r="G18" s="114"/>
      <c r="H18" s="115" t="str">
        <f>if($G$9="Male","",if(and($G$9="Female",$G$14="cm"),"cm",if(and($G$9="Female",$G$14="inch"),"in","")))</f>
        <v/>
      </c>
      <c r="I18" s="2"/>
      <c r="J18" s="116" t="s">
        <v>61</v>
      </c>
      <c r="W18" s="117"/>
      <c r="X18" s="7"/>
      <c r="Y18" s="7"/>
      <c r="Z18" s="7"/>
      <c r="AA18" s="7"/>
      <c r="AB18" s="7"/>
      <c r="AC18" s="7"/>
      <c r="AD18" s="7"/>
      <c r="AE18" s="7"/>
      <c r="AF18" s="7"/>
      <c r="AG18" s="7"/>
      <c r="AH18" s="7"/>
      <c r="AI18" s="7"/>
      <c r="AJ18" s="7"/>
      <c r="AK18" s="7"/>
      <c r="AL18" s="7"/>
      <c r="AM18" s="7"/>
      <c r="AN18" s="7"/>
      <c r="AO18" s="8"/>
      <c r="AP18" s="7"/>
      <c r="AQ18" s="7"/>
      <c r="AR18" s="7"/>
      <c r="AS18" s="22" t="s">
        <v>62</v>
      </c>
      <c r="AT18" s="7"/>
      <c r="AU18" s="7"/>
      <c r="AV18" s="7"/>
      <c r="AW18" s="7" t="str">
        <f>IFERROR(__xludf.DUMMYFUNCTION("if(count($G$7:$G$9)&lt;&gt;2,"""",if(count($U$36:$U141)&gt;3,index(filter($U$36:$U141,$U$36:$U141&lt;&gt;""""),count($U$36:$U141)-1,1),if(G5=""Lb"",(370 + (9.8*($G$7*((100-$AW$6) / 100)) )) * $BD$15,(370 + (21.6*($G$7*((100-$AW$6) / 100)) )) * $BD$15)))"),"")</f>
        <v/>
      </c>
      <c r="AX18" s="7"/>
      <c r="AY18" s="7"/>
      <c r="AZ18" s="7"/>
      <c r="BA18" s="7"/>
      <c r="BB18" s="7"/>
      <c r="BC18" s="98" t="s">
        <v>63</v>
      </c>
      <c r="BD18" s="108" t="str">
        <f>if($BD$24=TRUE,
if($G$9="Male",
  if(and($G$5="lb",$G$8&lt;20),1,
  if(and($G$5="lb",$G$8&gt;=20,$G$8&lt;=25),0.8,
  if(and($G$5="lb",$G$8&gt;25),0.73,
  if(and($G$5="kg",$G$8&lt;20),2.2,
  if(and($G$5="kg",$G$8&gt;=20,$G$8&lt;=25),1.76,
  if(and($G$5="kg",$G$8&gt;25),1.606)))))),
if($G$5="lb",0.8,1.7778)),"")</f>
        <v/>
      </c>
      <c r="BE18" s="7"/>
      <c r="BF18" s="7"/>
      <c r="BG18" s="7"/>
      <c r="BH18" s="7"/>
      <c r="BI18" s="7"/>
      <c r="BN18" s="55"/>
      <c r="BO18" s="43"/>
      <c r="BP18" s="43"/>
      <c r="BQ18" s="43"/>
      <c r="BR18" s="56"/>
      <c r="BS18" s="56"/>
      <c r="BT18" s="56" t="s">
        <v>64</v>
      </c>
      <c r="BU18" s="43"/>
      <c r="BV18" s="43"/>
      <c r="BW18" s="43"/>
      <c r="BX18" s="43"/>
      <c r="BY18" s="92">
        <f>IFERROR(__xludf.DUMMYFUNCTION("if(count(BZ$36:BZ140)&gt;0,index(filter(BZ$36:BZ140,BZ$36:BZ140 &lt;&gt;""""),count(BZ$36:BZ140)),$G$7)"),0.0)</f>
        <v>0</v>
      </c>
      <c r="BZ18" s="43"/>
      <c r="CA18" s="43"/>
      <c r="CB18" s="43"/>
      <c r="CC18" s="7"/>
      <c r="CD18" s="7"/>
    </row>
    <row r="19">
      <c r="A19" s="11"/>
      <c r="B19" s="81" t="s">
        <v>65</v>
      </c>
      <c r="G19" s="118" t="str">
        <f>AM6</f>
        <v/>
      </c>
      <c r="H19" s="119" t="s">
        <v>27</v>
      </c>
      <c r="I19" s="59"/>
      <c r="W19" s="20"/>
      <c r="X19" s="7"/>
      <c r="Y19" s="7"/>
      <c r="Z19" s="7"/>
      <c r="AA19" s="7"/>
      <c r="AB19" s="7"/>
      <c r="AC19" s="7"/>
      <c r="AD19" s="7"/>
      <c r="AE19" s="7"/>
      <c r="AF19" s="7"/>
      <c r="AG19" s="7"/>
      <c r="AH19" s="7"/>
      <c r="AI19" s="7"/>
      <c r="AJ19" s="7"/>
      <c r="AK19" s="7"/>
      <c r="AL19" s="7"/>
      <c r="AM19" s="120"/>
      <c r="AN19" s="7"/>
      <c r="AO19" s="8"/>
      <c r="AP19" s="7"/>
      <c r="AQ19" s="7"/>
      <c r="AR19" s="7"/>
      <c r="AS19" s="61" t="s">
        <v>66</v>
      </c>
      <c r="AW19" t="str">
        <f>if(BD24=FALSE,"",max($BD$22,$AW$17+$AW$18))</f>
        <v/>
      </c>
      <c r="AX19" s="7"/>
      <c r="AY19" s="7"/>
      <c r="AZ19" s="7"/>
      <c r="BA19" s="7"/>
      <c r="BB19" s="7"/>
      <c r="BC19" s="98" t="s">
        <v>67</v>
      </c>
      <c r="BD19" s="108" t="str">
        <f>if($BD$24=TRUE,if($G$9="Male",0.15,0.2),"")</f>
        <v/>
      </c>
      <c r="BE19" s="7"/>
      <c r="BF19" s="7"/>
      <c r="BG19" s="7"/>
      <c r="BH19" s="7"/>
      <c r="BI19" s="7"/>
      <c r="BN19" s="55"/>
      <c r="BO19" s="43"/>
      <c r="BP19" s="43"/>
      <c r="BQ19" s="43"/>
      <c r="BR19" s="56"/>
      <c r="BS19" s="56"/>
      <c r="BT19" s="56" t="s">
        <v>68</v>
      </c>
      <c r="BU19" s="43"/>
      <c r="BV19" s="43"/>
      <c r="BW19" s="43"/>
      <c r="BX19" s="43"/>
      <c r="BY19" s="92">
        <f>IFERROR(__xludf.DUMMYFUNCTION("if(count(CA$36:CA140)&gt;0,index(filter(CA$36:CA140,CA$36:CA140 &lt;&gt;""""),count(CA$36:CA140)),$G$7)"),0.0)</f>
        <v>0</v>
      </c>
      <c r="BZ19" s="43"/>
      <c r="CA19" s="43"/>
      <c r="CB19" s="43"/>
      <c r="CC19" s="7"/>
      <c r="CD19" s="7"/>
    </row>
    <row r="20" ht="15.75" customHeight="1">
      <c r="A20" s="11"/>
      <c r="B20" s="121" t="str">
        <f>$AL$7</f>
        <v/>
      </c>
      <c r="H20" s="66"/>
      <c r="I20" s="59"/>
      <c r="J20" s="122" t="s">
        <v>69</v>
      </c>
      <c r="K20" s="37"/>
      <c r="L20" s="37"/>
      <c r="M20" s="37"/>
      <c r="N20" s="123"/>
      <c r="O20" s="123"/>
      <c r="P20" s="123"/>
      <c r="Q20" s="123" t="str">
        <f>IFERROR(__xludf.DUMMYFUNCTION("if(and($BD$24=TRUE,or(and($P$3=""Enable"",P4&lt;&gt;"""",P7&lt;&gt;"""",P11&lt;&gt;""""),P3=""Disable"")),if(count($U$36:$U141)&gt;3,
                               index(filter($U$36:$U141,$U$36:$U141&lt;&gt;""""),count($U$36:$U141)-1,1),
                               if(G5=""Lb"&amp;""",
                                   (370 + (9.8*($G$7*((100-$BY$15) / 100)) )) * $BD$15,
                                   (370 + (21.6*($G$7*((100-$BY$15) / 100)) )) * $BD$15)),"""")"),"")</f>
        <v/>
      </c>
      <c r="R20" s="124" t="s">
        <v>70</v>
      </c>
      <c r="T20" s="125"/>
      <c r="U20" s="126"/>
      <c r="V20" s="127"/>
      <c r="W20" s="20"/>
      <c r="X20" s="7"/>
      <c r="Y20" s="7"/>
      <c r="Z20" s="7"/>
      <c r="AA20" s="7"/>
      <c r="AB20" s="7"/>
      <c r="AC20" s="7"/>
      <c r="AD20" s="7"/>
      <c r="AE20" s="7"/>
      <c r="AF20" s="7"/>
      <c r="AG20" s="120" t="s">
        <v>71</v>
      </c>
      <c r="AI20" s="7"/>
      <c r="AJ20" s="7"/>
      <c r="AK20" s="7"/>
      <c r="AL20" s="7"/>
      <c r="AM20" s="120" t="s">
        <v>72</v>
      </c>
      <c r="AN20" s="128">
        <f>if(G5="Lb",(370 + (9.8*($G$7*((100-$G$18) / 100)) )) * 1.5,(370 + (21.6*($G$7*((100-$G$18) / 100)) )) * 1.5)</f>
        <v>555</v>
      </c>
      <c r="AO20" s="8"/>
      <c r="AP20" s="7"/>
      <c r="AQ20" s="7"/>
      <c r="AR20" s="7"/>
      <c r="AS20" s="61" t="s">
        <v>73</v>
      </c>
      <c r="AW20" t="str">
        <f>IF(BD24,BO22,"")</f>
        <v/>
      </c>
      <c r="AX20" s="7"/>
      <c r="AY20" s="7"/>
      <c r="AZ20" s="7"/>
      <c r="BA20" s="7"/>
      <c r="BB20" s="7"/>
      <c r="BC20" s="98" t="s">
        <v>74</v>
      </c>
      <c r="BD20" s="108" t="str">
        <f>if($BD$24=TRUE,if($G$9="Male",0.3,0.4),"")</f>
        <v/>
      </c>
      <c r="BE20" s="7"/>
      <c r="BF20" s="7"/>
      <c r="BG20" s="7"/>
      <c r="BH20" s="7"/>
      <c r="BI20" s="7"/>
      <c r="BN20" s="55"/>
      <c r="BO20" s="43"/>
      <c r="BP20" s="43"/>
      <c r="BQ20" s="43"/>
      <c r="BR20" s="56"/>
      <c r="BS20" s="56"/>
      <c r="BT20" s="56" t="s">
        <v>75</v>
      </c>
      <c r="BU20" s="43"/>
      <c r="BV20" s="43"/>
      <c r="BW20" s="43"/>
      <c r="BX20" s="43"/>
      <c r="BY20" s="43" t="str">
        <f>if(BD24=FALSE,"",round(BY18,0)&amp; " - " &amp;round(BY19,0))</f>
        <v/>
      </c>
      <c r="BZ20" s="43"/>
      <c r="CA20" s="43"/>
      <c r="CB20" s="43"/>
      <c r="CC20" s="7"/>
      <c r="CD20" s="7"/>
    </row>
    <row r="21" ht="15.75" customHeight="1">
      <c r="A21" s="11"/>
      <c r="B21" s="37"/>
      <c r="C21" s="37"/>
      <c r="D21" s="37"/>
      <c r="E21" s="37"/>
      <c r="F21" s="37"/>
      <c r="G21" s="37"/>
      <c r="H21" s="69"/>
      <c r="I21" s="59"/>
      <c r="J21" s="129"/>
      <c r="K21" s="130"/>
      <c r="L21" s="130"/>
      <c r="M21" s="130"/>
      <c r="N21" s="129"/>
      <c r="O21" s="129"/>
      <c r="P21" s="129"/>
      <c r="Q21" s="129"/>
      <c r="R21" s="131"/>
      <c r="S21" s="131"/>
      <c r="T21" s="129"/>
      <c r="U21" s="117"/>
      <c r="W21" s="132"/>
      <c r="X21" s="133"/>
      <c r="Y21" s="7"/>
      <c r="Z21" s="7"/>
      <c r="AA21" s="7"/>
      <c r="AB21" s="7"/>
      <c r="AC21" s="7"/>
      <c r="AD21" s="7">
        <f>2050+((-3*3500))</f>
        <v>-8450</v>
      </c>
      <c r="AE21" s="7"/>
      <c r="AF21" s="7"/>
      <c r="AG21" s="7"/>
      <c r="AH21" s="7"/>
      <c r="AI21" s="7"/>
      <c r="AJ21" s="7"/>
      <c r="AK21" s="7"/>
      <c r="AL21" s="7"/>
      <c r="AM21" s="7" t="s">
        <v>76</v>
      </c>
      <c r="AN21" s="7">
        <f>G7*BF7</f>
        <v>0</v>
      </c>
      <c r="AO21" s="8"/>
      <c r="AP21" s="7"/>
      <c r="AQ21" s="7"/>
      <c r="AR21" s="7"/>
      <c r="AS21" s="61" t="s">
        <v>77</v>
      </c>
      <c r="AW21" t="str">
        <f>if(BD24,+(($BD$21*$Q$25)/9),"")</f>
        <v/>
      </c>
      <c r="AX21" s="7"/>
      <c r="AY21" s="7"/>
      <c r="AZ21" s="7"/>
      <c r="BA21" s="7"/>
      <c r="BB21" s="7"/>
      <c r="BC21" s="98" t="s">
        <v>78</v>
      </c>
      <c r="BD21" s="108" t="str">
        <f>if($BD$24=TRUE,
           if($G$9="Male",
                      if($BY$15&lt;25,
                            0.22,
                            if($BY$15&gt;=25,0.25,0)),
            if($G$9="Female",0.3,"")),"")</f>
        <v/>
      </c>
      <c r="BE21" s="7"/>
      <c r="BF21" s="7"/>
      <c r="BG21" s="7"/>
      <c r="BH21" s="7"/>
      <c r="BI21" s="7"/>
      <c r="BN21" s="55"/>
      <c r="BO21" s="56" t="s">
        <v>79</v>
      </c>
      <c r="BP21" s="43"/>
      <c r="BQ21" s="43"/>
      <c r="BR21" s="56"/>
      <c r="BS21" s="56"/>
      <c r="BT21" s="56" t="s">
        <v>80</v>
      </c>
      <c r="BU21" s="43"/>
      <c r="BV21" s="43"/>
      <c r="BW21" s="43"/>
      <c r="BX21" s="43"/>
      <c r="BY21" s="43" t="str">
        <f>if(count(BT$36:BT140)&gt;0,$BU$141,$G$8)</f>
        <v/>
      </c>
      <c r="BZ21" s="43"/>
      <c r="CA21" s="43"/>
      <c r="CB21" s="43"/>
      <c r="CC21" s="7"/>
      <c r="CD21" s="7"/>
    </row>
    <row r="22" ht="15.75" customHeight="1">
      <c r="A22" s="11"/>
      <c r="B22" s="87" t="s">
        <v>81</v>
      </c>
      <c r="I22" s="3"/>
      <c r="J22" s="134" t="str">
        <f>IF(Q22&lt;0,"Your Target Daily Deficit","Your Target Daily Surplus")</f>
        <v>Your Target Daily Surplus</v>
      </c>
      <c r="K22" s="28"/>
      <c r="L22" s="28"/>
      <c r="M22" s="28"/>
      <c r="N22" s="135"/>
      <c r="O22" s="135"/>
      <c r="P22" s="135"/>
      <c r="Q22" s="135" t="str">
        <f>if(or(BD24=FALSE,AW15=""),"",if(G5="lb",((AW15*3500)/7),if(G5="Kg",((AW15*7700)/7),"")))</f>
        <v/>
      </c>
      <c r="R22" s="136" t="s">
        <v>70</v>
      </c>
      <c r="T22" s="125"/>
      <c r="U22" s="137"/>
      <c r="V22" s="138"/>
      <c r="W22" s="117"/>
      <c r="X22" s="133"/>
      <c r="Y22" s="7"/>
      <c r="Z22" s="7"/>
      <c r="AA22" s="7"/>
      <c r="AB22" s="7"/>
      <c r="AC22" s="7"/>
      <c r="AD22" s="7"/>
      <c r="AE22" s="7"/>
      <c r="AF22" s="7"/>
      <c r="AG22" s="7"/>
      <c r="AH22" s="7"/>
      <c r="AI22" s="7"/>
      <c r="AJ22" s="7"/>
      <c r="AK22" s="7"/>
      <c r="AL22" s="7"/>
      <c r="AM22" s="120" t="s">
        <v>82</v>
      </c>
      <c r="AN22" s="7">
        <f>if(G5="Lb",(370 + (9.8*($G$7*((100-if($G$13="Enable",$G$18,$G$8)) / 100)) )) * $BD$15,(370 + (21.6*($G$7*((100-if($G$13="Enable",$G$18,$G$8)) / 100)) )) * $BD$15)</f>
        <v>0</v>
      </c>
      <c r="AO22" s="8"/>
      <c r="AP22" s="7"/>
      <c r="AQ22" s="7"/>
      <c r="AR22" s="7"/>
      <c r="AS22" s="61" t="s">
        <v>83</v>
      </c>
      <c r="AW22" t="str">
        <f>if(BD24,($Q$25-($Q$26*4)-($Q$27*9))/4,"")</f>
        <v/>
      </c>
      <c r="AX22" s="7"/>
      <c r="AY22" s="7"/>
      <c r="AZ22" s="7"/>
      <c r="BA22" s="7"/>
      <c r="BB22" s="7"/>
      <c r="BC22" s="98" t="s">
        <v>84</v>
      </c>
      <c r="BD22" s="98" t="str">
        <f>if($BD$24=TRUE,if($G$9="Male",1500,1200),"")</f>
        <v/>
      </c>
      <c r="BE22" s="7"/>
      <c r="BF22" s="7"/>
      <c r="BG22" s="7"/>
      <c r="BH22" s="7"/>
      <c r="BI22" s="7"/>
      <c r="BN22" s="55"/>
      <c r="BO22" s="139" t="str">
        <f>if(BQ7,BY17,BO14)</f>
        <v/>
      </c>
      <c r="BP22" s="43"/>
      <c r="BQ22" s="43"/>
      <c r="BR22" s="43"/>
      <c r="BS22" s="43"/>
      <c r="BT22" s="43"/>
      <c r="BU22" s="43"/>
      <c r="BV22" s="43"/>
      <c r="BW22" s="43"/>
      <c r="BX22" s="43"/>
      <c r="BY22" s="43"/>
      <c r="BZ22" s="43"/>
      <c r="CA22" s="43"/>
      <c r="CB22" s="43"/>
      <c r="CC22" s="7"/>
      <c r="CD22" s="7"/>
    </row>
    <row r="23">
      <c r="A23" s="11"/>
      <c r="I23" s="2"/>
      <c r="J23" s="140"/>
      <c r="K23" s="140"/>
      <c r="L23" s="140"/>
      <c r="M23" s="140"/>
      <c r="N23" s="141"/>
      <c r="O23" s="141"/>
      <c r="P23" s="141"/>
      <c r="Q23" s="141"/>
      <c r="R23" s="142"/>
      <c r="S23" s="142"/>
      <c r="T23" s="142"/>
      <c r="U23" s="143"/>
      <c r="V23" s="143"/>
      <c r="W23" s="117"/>
      <c r="X23" s="117"/>
      <c r="Y23" s="7"/>
      <c r="Z23" s="7"/>
      <c r="AA23" s="7"/>
      <c r="AB23" s="7"/>
      <c r="AC23" s="7"/>
      <c r="AD23" s="7"/>
      <c r="AE23" s="7"/>
      <c r="AF23" s="7"/>
      <c r="AG23" s="7"/>
      <c r="AH23" s="7"/>
      <c r="AI23" s="7"/>
      <c r="AJ23" s="7"/>
      <c r="AK23" s="7"/>
      <c r="AL23" s="7"/>
      <c r="AM23" s="7"/>
      <c r="AN23" s="7"/>
      <c r="AO23" s="8"/>
      <c r="AP23" s="7"/>
      <c r="AQ23" s="7"/>
      <c r="AR23" s="7"/>
      <c r="AS23" s="61" t="s">
        <v>85</v>
      </c>
      <c r="AW23" t="str">
        <f>if(and(BD24,$AW$17+$AW$18&lt;$BD$22),"Calculated calories have been set to the minimum. See FAQ","")</f>
        <v/>
      </c>
      <c r="AX23" s="7"/>
      <c r="AY23" s="7"/>
      <c r="AZ23" s="7"/>
      <c r="BA23" s="7"/>
      <c r="BB23" s="7"/>
      <c r="BC23" s="7"/>
      <c r="BD23" s="7"/>
      <c r="BE23" s="7"/>
      <c r="BF23" s="7"/>
      <c r="BG23" s="7"/>
      <c r="BH23" s="7"/>
      <c r="BI23" s="7"/>
      <c r="BN23" s="55"/>
      <c r="BO23" s="43" t="str">
        <f>if(BQ7,BY20,BO15)</f>
        <v/>
      </c>
      <c r="BP23" s="43"/>
      <c r="BQ23" s="43"/>
      <c r="BR23" s="43"/>
      <c r="BS23" s="43"/>
      <c r="BT23" s="43"/>
      <c r="BU23" s="43"/>
      <c r="BV23" s="43"/>
      <c r="BW23" s="43"/>
      <c r="BX23" s="43"/>
      <c r="BY23" s="43"/>
      <c r="BZ23" s="43"/>
      <c r="CA23" s="43"/>
      <c r="CB23" s="43"/>
      <c r="CC23" s="7"/>
      <c r="CD23" s="7"/>
    </row>
    <row r="24">
      <c r="A24" s="11"/>
      <c r="I24" s="144"/>
      <c r="J24" s="145" t="s">
        <v>86</v>
      </c>
      <c r="K24" s="146"/>
      <c r="L24" s="146"/>
      <c r="M24" s="147"/>
      <c r="N24" s="147"/>
      <c r="O24" s="147"/>
      <c r="P24" s="147"/>
      <c r="Q24" s="147"/>
      <c r="R24" s="148"/>
      <c r="S24" s="148"/>
      <c r="T24" s="149"/>
      <c r="U24" s="150"/>
      <c r="V24" s="149"/>
      <c r="W24" s="117"/>
      <c r="X24" s="117"/>
      <c r="Y24" s="7"/>
      <c r="Z24" s="7"/>
      <c r="AA24" s="7"/>
      <c r="AB24" s="7"/>
      <c r="AC24" s="7"/>
      <c r="AD24" s="7"/>
      <c r="AE24" s="7"/>
      <c r="AF24" s="7"/>
      <c r="AG24" s="7"/>
      <c r="AH24" s="7"/>
      <c r="AI24" s="7"/>
      <c r="AJ24" s="7"/>
      <c r="AK24" s="7"/>
      <c r="AL24" s="7"/>
      <c r="AM24" s="7"/>
      <c r="AN24" s="7"/>
      <c r="AO24" s="8"/>
      <c r="AP24" s="7"/>
      <c r="AQ24" s="7"/>
      <c r="AR24" s="7"/>
      <c r="AX24" s="7"/>
      <c r="AY24" s="7"/>
      <c r="AZ24" s="7"/>
      <c r="BA24" s="7"/>
      <c r="BB24" s="7"/>
      <c r="BC24" s="22" t="s">
        <v>87</v>
      </c>
      <c r="BD24" s="7" t="b">
        <f>if( and( or($G$5="Kg",$G$5="Lb"), $G$7&lt;&gt;"", $G$9&lt;&gt;"", or($G$8&lt;&gt;"", and($G$13="Enable",$G$19&lt;&gt;""))
       , or(and(P3="Enable"),
             and( if(isblank(Q16)=FALSE,true,false),P3="Disable"))),true, false)</f>
        <v>0</v>
      </c>
      <c r="BE24" s="7"/>
      <c r="BF24" s="7"/>
      <c r="BG24" s="7"/>
      <c r="BH24" s="7"/>
      <c r="BI24" s="7"/>
      <c r="BN24" s="55"/>
      <c r="BO24" s="43"/>
      <c r="BP24" s="43"/>
      <c r="BQ24" s="43"/>
      <c r="BR24" s="43"/>
      <c r="BS24" s="43"/>
      <c r="BT24" s="43"/>
      <c r="BU24" s="43"/>
      <c r="BV24" s="43"/>
      <c r="BW24" s="43"/>
      <c r="BX24" s="43"/>
      <c r="BY24" s="43"/>
      <c r="BZ24" s="43"/>
      <c r="CA24" s="43"/>
      <c r="CB24" s="43"/>
      <c r="CC24" s="7"/>
      <c r="CD24" s="7"/>
    </row>
    <row r="25">
      <c r="A25" s="11"/>
      <c r="B25" s="37"/>
      <c r="C25" s="37"/>
      <c r="D25" s="37"/>
      <c r="E25" s="37"/>
      <c r="F25" s="37"/>
      <c r="G25" s="37"/>
      <c r="H25" s="37"/>
      <c r="J25" s="151" t="s">
        <v>88</v>
      </c>
      <c r="K25" s="37"/>
      <c r="L25" s="37"/>
      <c r="M25" s="37"/>
      <c r="N25" s="152"/>
      <c r="O25" s="152"/>
      <c r="P25" s="152"/>
      <c r="Q25" s="153" t="str">
        <f>if(or(BD24=FALSE,AW15=""),"",max($BD$22,$Q$20+$Q$22))</f>
        <v/>
      </c>
      <c r="R25" s="154" t="s">
        <v>70</v>
      </c>
      <c r="S25" s="49" t="s">
        <v>89</v>
      </c>
      <c r="T25" s="28"/>
      <c r="U25" s="28"/>
      <c r="W25" s="20"/>
      <c r="X25" s="7"/>
      <c r="Y25" s="7"/>
      <c r="Z25" s="7"/>
      <c r="AA25" s="7"/>
      <c r="AB25" s="7"/>
      <c r="AC25" s="7"/>
      <c r="AD25" s="7"/>
      <c r="AE25" s="7"/>
      <c r="AF25" s="7"/>
      <c r="AG25" s="7"/>
      <c r="AH25" s="7"/>
      <c r="AI25" s="7"/>
      <c r="AJ25" s="7"/>
      <c r="AK25" s="7"/>
      <c r="AL25" s="7"/>
      <c r="AM25" s="7"/>
      <c r="AN25" s="7"/>
      <c r="AO25" s="8"/>
      <c r="AP25" s="7"/>
      <c r="AQ25" s="7"/>
      <c r="AR25" s="7"/>
      <c r="AS25" s="7"/>
      <c r="AT25" s="7"/>
      <c r="AU25" s="7"/>
      <c r="AV25" s="120" t="s">
        <v>90</v>
      </c>
      <c r="AW25" s="7">
        <f>if(G5="Lb",(370 + (9.8*($G$7*((100-if($G$13="Enable",$G$18,$G$8)) / 100)) )) * $BD$15,(370 + (21.6*($G$7*((100-if($G$13="Enable",$G$18,$G$8)) / 100)) )) * $BD$15)</f>
        <v>0</v>
      </c>
      <c r="AX25" s="7"/>
      <c r="AY25" s="7"/>
      <c r="AZ25" s="7"/>
      <c r="BA25" s="7"/>
      <c r="BB25" s="7"/>
      <c r="BC25" s="7"/>
      <c r="BD25" s="7"/>
      <c r="BE25" s="7"/>
      <c r="BF25" s="7"/>
      <c r="BG25" s="7"/>
      <c r="BH25" s="7"/>
      <c r="BI25" s="7"/>
      <c r="BJ25" s="7"/>
      <c r="BK25" s="7"/>
      <c r="BL25" s="7"/>
      <c r="BM25" s="7"/>
      <c r="BN25" s="43"/>
      <c r="BO25" s="43"/>
      <c r="BP25" s="43"/>
      <c r="BQ25" s="43"/>
      <c r="BR25" s="43"/>
      <c r="BS25" s="43"/>
      <c r="BT25" s="43"/>
      <c r="BU25" s="43"/>
      <c r="BV25" s="43"/>
      <c r="BW25" s="43"/>
      <c r="BX25" s="44"/>
      <c r="BY25" s="45"/>
      <c r="BZ25" s="43"/>
      <c r="CA25" s="43"/>
      <c r="CB25" s="43"/>
      <c r="CC25" s="7"/>
      <c r="CD25" s="7"/>
    </row>
    <row r="26">
      <c r="A26" s="11"/>
      <c r="J26" s="155" t="s">
        <v>91</v>
      </c>
      <c r="K26" s="28"/>
      <c r="L26" s="28"/>
      <c r="M26" s="28"/>
      <c r="N26" s="152"/>
      <c r="O26" s="152"/>
      <c r="P26" s="152"/>
      <c r="Q26" s="156" t="str">
        <f>IF(or(BD24=FALSE,AW15=""),"",BO22)</f>
        <v/>
      </c>
      <c r="R26" s="157" t="s">
        <v>92</v>
      </c>
      <c r="S26" s="158" t="str">
        <f>if(or(BD24=FALSE,AW15=""),"",BO23)</f>
        <v/>
      </c>
      <c r="W26" s="20"/>
      <c r="X26" s="7"/>
      <c r="Y26" s="7"/>
      <c r="Z26" s="7"/>
      <c r="AA26" s="7"/>
      <c r="AB26" s="7"/>
      <c r="AC26" s="7"/>
      <c r="AD26" s="7"/>
      <c r="AE26" s="7"/>
      <c r="AF26" s="7"/>
      <c r="AG26" s="7"/>
      <c r="AH26" s="7"/>
      <c r="AI26" s="7"/>
      <c r="AJ26" s="7"/>
      <c r="AK26" s="7"/>
      <c r="AL26" s="7"/>
      <c r="AM26" s="7"/>
      <c r="AN26" s="7"/>
      <c r="AO26" s="8"/>
      <c r="AP26" s="7"/>
      <c r="AQ26" s="7"/>
      <c r="AR26" s="7"/>
      <c r="AS26" s="7"/>
      <c r="AT26" s="7"/>
      <c r="AU26" s="7"/>
      <c r="AV26" s="120" t="s">
        <v>93</v>
      </c>
      <c r="AW26" s="7">
        <f>IF(AL36=0,$AN$22,IF(AL37=0,$AN$22,AW37+(((-AZ36)*$BD$7)/AL37)))</f>
        <v>0</v>
      </c>
      <c r="AY26" s="7"/>
      <c r="AZ26" s="7"/>
      <c r="BA26" s="7"/>
      <c r="BB26" s="7"/>
      <c r="BC26" s="7"/>
      <c r="BD26" s="7"/>
      <c r="BE26" s="7"/>
      <c r="BF26" s="7"/>
      <c r="BG26" s="7"/>
      <c r="BH26" s="7"/>
      <c r="BI26" s="7"/>
      <c r="BJ26" s="7"/>
      <c r="BK26" s="7"/>
      <c r="BL26" s="7"/>
      <c r="BM26" s="7"/>
      <c r="BN26" s="43"/>
      <c r="BO26" s="43"/>
      <c r="BP26" s="43"/>
      <c r="BQ26" s="43"/>
      <c r="BR26" s="43"/>
      <c r="BS26" s="43"/>
      <c r="BT26" s="43"/>
      <c r="BU26" s="43"/>
      <c r="BV26" s="43"/>
      <c r="BW26" s="43"/>
      <c r="BX26" s="44"/>
      <c r="BY26" s="45"/>
      <c r="BZ26" s="43"/>
      <c r="CA26" s="43"/>
      <c r="CB26" s="43"/>
      <c r="CC26" s="7"/>
      <c r="CD26" s="7"/>
    </row>
    <row r="27" ht="18.75" customHeight="1">
      <c r="A27" s="11"/>
      <c r="B27" s="159" t="str">
        <f>if(count(AC39:AC46)&lt;4,concatenate("Reminder:"," 
Your calories, protein, fat &amp; carbs will start adjusting by the beginning of week 4. "," 
Until then stick with your initial calories/macros values."),"")</f>
        <v>Reminder: 
Your calories, protein, fat &amp; carbs will start adjusting by the beginning of week 4.  
Until then stick with your initial calories/macros values.</v>
      </c>
      <c r="J27" s="155" t="s">
        <v>94</v>
      </c>
      <c r="K27" s="28"/>
      <c r="L27" s="28"/>
      <c r="M27" s="28"/>
      <c r="N27" s="152"/>
      <c r="O27" s="152"/>
      <c r="P27" s="152"/>
      <c r="Q27" s="160" t="str">
        <f>if(or(BD24=FALSE,AW15=""),"",+(($BD$21*$Q$25)/9))</f>
        <v/>
      </c>
      <c r="R27" s="161" t="s">
        <v>92</v>
      </c>
      <c r="S27" s="162" t="str">
        <f>if(or(BD24=FALSE,AW15=""),"",round(($BD$19*$Q$25)/9,0) &amp; " - " &amp; round(($BD$20*$Q$25)/9,0))</f>
        <v/>
      </c>
      <c r="W27" s="20"/>
      <c r="X27" s="7"/>
      <c r="Y27" s="7"/>
      <c r="Z27" s="7"/>
      <c r="AA27" s="7"/>
      <c r="AB27" s="7"/>
      <c r="AC27" s="7"/>
      <c r="AD27" s="7"/>
      <c r="AE27" s="7"/>
      <c r="AF27" s="7"/>
      <c r="AG27" s="7"/>
      <c r="AH27" s="7"/>
      <c r="AI27" s="7"/>
      <c r="AJ27" s="7"/>
      <c r="AK27" s="7"/>
      <c r="AL27" s="7"/>
      <c r="AM27" s="7"/>
      <c r="AN27" s="7"/>
      <c r="AO27" s="8"/>
      <c r="AP27" s="7"/>
      <c r="AQ27" s="7"/>
      <c r="AR27" s="7"/>
      <c r="AS27" s="7"/>
      <c r="AT27" s="7"/>
      <c r="AU27" s="7"/>
      <c r="AV27" s="7"/>
      <c r="AW27" s="7"/>
      <c r="AX27" s="7"/>
      <c r="AY27" s="7"/>
      <c r="AZ27" s="7"/>
      <c r="BA27" s="7"/>
      <c r="BB27" s="7"/>
      <c r="BC27" s="7"/>
      <c r="BD27" s="7"/>
      <c r="BE27" s="7"/>
      <c r="BF27" s="7"/>
      <c r="BG27" s="7"/>
      <c r="BH27" s="7"/>
      <c r="BI27" s="7"/>
      <c r="BJ27" s="7"/>
      <c r="BK27" s="7"/>
      <c r="BL27" s="7"/>
      <c r="BM27" s="7"/>
      <c r="BN27" s="43"/>
      <c r="BO27" s="43"/>
      <c r="BP27" s="43"/>
      <c r="BQ27" s="43"/>
      <c r="BR27" s="43"/>
      <c r="BS27" s="43"/>
      <c r="BT27" s="43"/>
      <c r="BU27" s="43"/>
      <c r="BV27" s="43"/>
      <c r="BW27" s="43"/>
      <c r="BX27" s="44"/>
      <c r="BY27" s="45"/>
      <c r="BZ27" s="43"/>
      <c r="CA27" s="43"/>
      <c r="CB27" s="43"/>
      <c r="CC27" s="7"/>
      <c r="CD27" s="7"/>
    </row>
    <row r="28">
      <c r="A28" s="163"/>
      <c r="B28" s="164"/>
      <c r="J28" s="165" t="s">
        <v>95</v>
      </c>
      <c r="K28" s="166"/>
      <c r="L28" s="166"/>
      <c r="M28" s="166"/>
      <c r="N28" s="152"/>
      <c r="O28" s="152"/>
      <c r="P28" s="152"/>
      <c r="Q28" s="167" t="str">
        <f>if(or(BD24=FALSE,AW15=""),"",($Q$25-($Q$26*4)-($Q$27*9))/4)</f>
        <v/>
      </c>
      <c r="R28" s="168" t="s">
        <v>92</v>
      </c>
      <c r="S28" s="169" t="str">
        <f>if(or(BD24=FALSE,AW15=""),"",round($Q$28*0.8,0)&amp; " - " &amp;round($Q$28*1.2,0))</f>
        <v/>
      </c>
      <c r="W28" s="20"/>
      <c r="X28" s="7"/>
      <c r="Y28" s="7"/>
      <c r="Z28" s="7"/>
      <c r="AA28" s="7"/>
      <c r="AB28" s="7"/>
      <c r="AC28" s="7"/>
      <c r="AD28" s="7"/>
      <c r="AE28" s="7"/>
      <c r="AF28" s="7"/>
      <c r="AG28" s="7"/>
      <c r="AH28" s="7"/>
      <c r="AI28" s="7"/>
      <c r="AJ28" s="7"/>
      <c r="AK28" s="7"/>
      <c r="AL28" s="7"/>
      <c r="AM28" s="7"/>
      <c r="AN28" s="7"/>
      <c r="AO28" s="8"/>
      <c r="AP28" s="7"/>
      <c r="AQ28" s="7"/>
      <c r="AR28" s="7"/>
      <c r="AS28" s="7"/>
      <c r="AT28" s="7"/>
      <c r="AU28" s="7"/>
      <c r="AV28" s="7"/>
      <c r="AW28" s="7"/>
      <c r="AX28" s="7"/>
      <c r="AY28" s="7"/>
      <c r="AZ28" s="7"/>
      <c r="BA28" s="7"/>
      <c r="BB28" s="7"/>
      <c r="BC28" s="7"/>
      <c r="BD28" s="7"/>
      <c r="BE28" s="7"/>
      <c r="BF28" s="7"/>
      <c r="BG28" s="7"/>
      <c r="BH28" s="7"/>
      <c r="BI28" s="7"/>
      <c r="BJ28" s="7"/>
      <c r="BK28" s="7"/>
      <c r="BL28" s="7"/>
      <c r="BM28" s="7"/>
      <c r="BN28" s="43"/>
      <c r="BO28" s="43"/>
      <c r="BP28" s="43"/>
      <c r="BQ28" s="43"/>
      <c r="BR28" s="43"/>
      <c r="BS28" s="43"/>
      <c r="BT28" s="43"/>
      <c r="BU28" s="43"/>
      <c r="BV28" s="43"/>
      <c r="BW28" s="43"/>
      <c r="BX28" s="44"/>
      <c r="BY28" s="45"/>
      <c r="BZ28" s="43"/>
      <c r="CA28" s="43"/>
      <c r="CB28" s="43"/>
      <c r="CC28" s="7"/>
      <c r="CD28" s="7"/>
    </row>
    <row r="29">
      <c r="A29" s="163"/>
      <c r="B29" s="164"/>
      <c r="AB29" s="7"/>
      <c r="AC29" s="7"/>
      <c r="AD29" s="7"/>
      <c r="AE29" s="7"/>
      <c r="AF29" s="7"/>
      <c r="AG29" s="7"/>
      <c r="AH29" s="7"/>
      <c r="AI29" s="7"/>
      <c r="AJ29" s="7"/>
      <c r="AK29" s="7"/>
      <c r="AL29" s="7"/>
      <c r="AM29" s="7"/>
      <c r="AN29" s="7"/>
      <c r="AO29" s="8"/>
      <c r="AP29" s="7"/>
      <c r="AQ29" s="7"/>
      <c r="AR29" s="7"/>
      <c r="AS29" s="7"/>
      <c r="AT29" s="7"/>
      <c r="AU29" s="22" t="s">
        <v>96</v>
      </c>
      <c r="AV29" s="7"/>
      <c r="AW29" s="7" t="b">
        <f>if(AW15=0,FALSE,TRUE)</f>
        <v>1</v>
      </c>
      <c r="AX29" s="7"/>
      <c r="AY29" s="7"/>
      <c r="AZ29" s="7"/>
      <c r="BA29" s="7"/>
      <c r="BB29" s="7"/>
      <c r="BC29" s="7"/>
      <c r="BD29" s="7"/>
      <c r="BE29" s="7"/>
      <c r="BF29" s="7"/>
      <c r="BG29" s="7"/>
      <c r="BH29" s="7"/>
      <c r="BI29" s="7"/>
      <c r="BJ29" s="7"/>
      <c r="BK29" s="7"/>
      <c r="BL29" s="7"/>
      <c r="BM29" s="7"/>
      <c r="BN29" s="43"/>
      <c r="BO29" s="43"/>
      <c r="BP29" s="43"/>
      <c r="BQ29" s="43"/>
      <c r="BR29" s="43"/>
      <c r="BS29" s="43"/>
      <c r="BT29" s="43"/>
      <c r="BU29" s="43"/>
      <c r="BV29" s="43"/>
      <c r="BW29" s="43"/>
      <c r="BX29" s="44"/>
      <c r="BY29" s="45"/>
      <c r="BZ29" s="43"/>
      <c r="CA29" s="43"/>
      <c r="CB29" s="43"/>
      <c r="CC29" s="7"/>
      <c r="CD29" s="7"/>
    </row>
    <row r="30">
      <c r="A30" s="170"/>
      <c r="B30" s="164"/>
      <c r="J30" s="159" t="str">
        <f>$AW$23</f>
        <v/>
      </c>
      <c r="U30" s="171"/>
      <c r="AB30" s="7"/>
      <c r="AC30" s="7"/>
      <c r="AD30" s="7"/>
      <c r="AE30" s="7"/>
      <c r="AF30" s="7"/>
      <c r="AG30" s="7"/>
      <c r="AH30" s="7"/>
      <c r="AI30" s="7"/>
      <c r="AJ30" s="7"/>
      <c r="AK30" s="7"/>
      <c r="AL30" s="7"/>
      <c r="AM30" s="7"/>
      <c r="AN30" s="7"/>
      <c r="AO30" s="8"/>
      <c r="AP30" s="7"/>
      <c r="AQ30" s="7"/>
      <c r="AR30" s="7"/>
      <c r="AS30" s="7"/>
      <c r="AT30" s="7"/>
      <c r="AU30" s="22" t="s">
        <v>97</v>
      </c>
      <c r="AV30" s="7"/>
      <c r="AW30" s="8">
        <f>if(AW15&lt;0,min($E$36:$K$36,$E$38:$K$38,$E$40:$K$40,$E$42:$K$42,$E$44:$K$44,$E$46:$K$46,$E$48:$K$48,$E$50:$K$50,$E$52:$K$52,$E$54:$K$54,$E$56:$K$56,$E$58:$K$58,$E$60:$K$60,$E$62:$K$62,$E$64:$K$64,$E$66:$K$66,$E$68:$K$68,$E$70:$K$70,$E$72:$K$72,$E$74:$K$74,$E$76:$K$76,$E$78:$K$78,$E$80:$K$80,$E$82:$K$82,$E$84:$K$84,$E$86:$K$86,$E$88:$K$88,$E$90:$K$90,$E$92:$K$92,$E$94:$K$94,$E$96:$K$96,$E$98:$K$98,$E$100:$K$100,$E$102:$K$102,$E$104:$K$104,$E$106:$K$106,$E$108:$K$108,$E$110:$K$110,$E$112:$K$112,$E$114:$K$114,$E$116:$K$116,$E$118:$K$118,$E$120:$K$120,$E$122:$K$122,$E$124:$K$124,$E$126:$K$126,$E$128:$K$128,$E$130:$K$130,$E$132:$K$132,$E$134:$K$134,$E$136:$K$136,$E$138:$K$138,$E$140:$K$140),if(AW15&gt;0,max($E$36:$K$36,$E$38:$K$38,$E$40:$K$40,$E$42:$K$42,$E$44:$K$44,$E$46:$K$46,$E$48:$K$48,$E$50:$K$50,$E$52:$K$52,$E$54:$K$54,$E$56:$K$56,$E$58:$K$58,$E$60:$K$60,$E$62:$K$62,$E$64:$K$64,$E$66:$K$66,$E$68:$K$68,$E$70:$K$70,$E$72:$K$72,$E$74:$K$74,$E$76:$K$76,$E$78:$K$78,$E$80:$K$80,$E$82:$K$82,$E$84:$K$84,$E$86:$K$86,$E$88:$K$88,$E$90:$K$90,$E$92:$K$92,$E$94:$K$94,$E$96:$K$96,$E$98:$K$98,$E$100:$K$100,$E$102:$K$102,$E$104:$K$104,$E$106:$K$106,$E$108:$K$108,$E$110:$K$110,$E$112:$K$112,$E$114:$K$114,$E$116:$K$116,$E$118:$K$118,$E$120:$K$120,$E$122:$K$122,$E$124:$K$124,$E$126:$K$126,$E$128:$K$128,$E$130:$K$130,$E$132:$K$132,$E$134:$K$134,$E$136:$K$136,$E$138:$K$138,$E$140:$K$140)))</f>
        <v>0</v>
      </c>
      <c r="AX30" s="7"/>
      <c r="AY30" s="7"/>
      <c r="AZ30" s="7"/>
      <c r="BA30" s="7"/>
      <c r="BB30" s="7"/>
      <c r="BC30" s="7"/>
      <c r="BD30" s="7"/>
      <c r="BE30" s="7"/>
      <c r="BF30" s="7"/>
      <c r="BG30" s="7"/>
      <c r="BH30" s="7"/>
      <c r="BI30" s="7"/>
      <c r="BJ30" s="7"/>
      <c r="BK30" s="7"/>
      <c r="BL30" s="7"/>
      <c r="BM30" s="7"/>
      <c r="BN30" s="43"/>
      <c r="BO30" s="43"/>
      <c r="BP30" s="43"/>
      <c r="BQ30" s="43"/>
      <c r="BR30" s="43"/>
      <c r="BS30" s="43"/>
      <c r="BT30" s="43"/>
      <c r="BU30" s="43"/>
      <c r="BV30" s="43"/>
      <c r="BW30" s="43"/>
      <c r="BX30" s="44"/>
      <c r="BY30" s="45"/>
      <c r="BZ30" s="43"/>
      <c r="CA30" s="43"/>
      <c r="CB30" s="43"/>
      <c r="CC30" s="7"/>
      <c r="CD30" s="7"/>
    </row>
    <row r="31">
      <c r="A31" s="11"/>
      <c r="B31" s="172" t="s">
        <v>98</v>
      </c>
      <c r="C31" s="6"/>
      <c r="D31" s="6"/>
      <c r="E31" s="6"/>
      <c r="F31" s="6"/>
      <c r="G31" s="6"/>
      <c r="H31" s="6"/>
      <c r="I31" s="6"/>
      <c r="J31" s="159"/>
      <c r="K31" s="171"/>
      <c r="L31" s="171"/>
      <c r="M31" s="171"/>
      <c r="N31" s="171"/>
      <c r="O31" s="171"/>
      <c r="P31" s="171"/>
      <c r="Q31" s="171"/>
      <c r="R31" s="171"/>
      <c r="S31" s="171"/>
      <c r="T31" s="171"/>
      <c r="U31" s="171"/>
      <c r="W31" s="20"/>
      <c r="X31" s="7"/>
      <c r="Y31" s="7"/>
      <c r="Z31" s="7"/>
      <c r="AA31" s="7"/>
      <c r="AB31" s="7"/>
      <c r="AC31" s="7"/>
      <c r="AD31" s="7"/>
      <c r="AE31" s="7"/>
      <c r="AF31" s="7"/>
      <c r="AG31" s="7"/>
      <c r="AH31" s="7"/>
      <c r="AI31" s="7"/>
      <c r="AJ31" s="7"/>
      <c r="AK31" s="7"/>
      <c r="AL31" s="7"/>
      <c r="AM31" s="7"/>
      <c r="AN31" s="7"/>
      <c r="AO31" s="8"/>
      <c r="AP31" s="7"/>
      <c r="AQ31" s="7"/>
      <c r="AR31" s="7"/>
      <c r="AS31" s="7"/>
      <c r="AT31" s="7"/>
      <c r="AU31" s="22" t="s">
        <v>99</v>
      </c>
      <c r="AV31" s="7"/>
      <c r="AW31" s="128">
        <f>if(AW15&lt;0,AX35,if(AW15&gt;0,AY35))</f>
        <v>0</v>
      </c>
      <c r="AX31" s="7"/>
      <c r="AY31" s="7"/>
      <c r="AZ31" s="7"/>
      <c r="BA31" s="7"/>
      <c r="BB31" s="7"/>
      <c r="BC31" s="7"/>
      <c r="BD31" s="7"/>
      <c r="BE31" s="7"/>
      <c r="BF31" s="7"/>
      <c r="BG31" s="7"/>
      <c r="BH31" s="7"/>
      <c r="BI31" s="7"/>
      <c r="BJ31" s="7"/>
      <c r="BK31" s="7"/>
      <c r="BL31" s="7"/>
      <c r="BM31" s="7"/>
      <c r="BN31" s="43"/>
      <c r="BO31" s="43"/>
      <c r="BP31" s="43"/>
      <c r="BQ31" s="43"/>
      <c r="BR31" s="43"/>
      <c r="BS31" s="43"/>
      <c r="BT31" s="43"/>
      <c r="BU31" s="43"/>
      <c r="BV31" s="43"/>
      <c r="BW31" s="43"/>
      <c r="BX31" s="44"/>
      <c r="BY31" s="45"/>
      <c r="BZ31" s="43"/>
      <c r="CA31" s="43"/>
      <c r="CB31" s="43"/>
      <c r="CC31" s="7"/>
      <c r="CD31" s="7"/>
    </row>
    <row r="32">
      <c r="A32" s="11"/>
      <c r="J32" s="159"/>
      <c r="K32" s="171"/>
      <c r="L32" s="171"/>
      <c r="M32" s="171"/>
      <c r="N32" s="171"/>
      <c r="O32" s="171"/>
      <c r="P32" s="171"/>
      <c r="Q32" s="171"/>
      <c r="R32" s="171"/>
      <c r="S32" s="171"/>
      <c r="T32" s="171"/>
      <c r="U32" s="171"/>
      <c r="W32" s="20"/>
      <c r="X32" s="7"/>
      <c r="Y32" s="7"/>
      <c r="Z32" s="7"/>
      <c r="AA32" s="7"/>
      <c r="AB32" s="173"/>
      <c r="AC32" s="173"/>
      <c r="AD32" s="173"/>
      <c r="AE32" s="173"/>
      <c r="AF32" s="173"/>
      <c r="AG32" s="173"/>
      <c r="AH32" s="173"/>
      <c r="AI32" s="173"/>
      <c r="AJ32" s="173"/>
      <c r="AK32" s="173"/>
      <c r="AL32" s="173"/>
      <c r="AM32" s="173"/>
      <c r="AN32" s="173"/>
      <c r="AO32" s="174"/>
      <c r="AP32" s="173"/>
      <c r="AQ32" s="173"/>
      <c r="AR32" s="173"/>
      <c r="AS32" s="173"/>
      <c r="AT32" s="173"/>
      <c r="AU32" s="173"/>
      <c r="AV32" s="173"/>
      <c r="AW32" s="173"/>
      <c r="AX32" s="173"/>
      <c r="AY32" s="173"/>
      <c r="AZ32" s="173"/>
      <c r="BA32" s="173"/>
      <c r="BB32" s="173"/>
      <c r="BC32" s="173"/>
      <c r="BD32" s="173"/>
      <c r="BE32" s="173"/>
      <c r="BF32" s="173"/>
      <c r="BG32" s="173"/>
      <c r="BH32" s="173"/>
      <c r="BI32" s="173"/>
      <c r="BJ32" s="173"/>
      <c r="BK32" s="173"/>
      <c r="BL32" s="173"/>
      <c r="BM32" s="173"/>
      <c r="BN32" s="175"/>
      <c r="BO32" s="175"/>
      <c r="BP32" s="175"/>
      <c r="BQ32" s="175"/>
      <c r="BR32" s="175"/>
      <c r="BS32" s="175"/>
      <c r="BT32" s="175"/>
      <c r="BU32" s="175"/>
      <c r="BV32" s="175"/>
      <c r="BW32" s="175"/>
      <c r="BX32" s="44"/>
      <c r="BY32" s="176"/>
      <c r="BZ32" s="175"/>
      <c r="CA32" s="175"/>
      <c r="CB32" s="175"/>
      <c r="CC32" s="173"/>
      <c r="CD32" s="173"/>
    </row>
    <row r="33" ht="15.75" customHeight="1">
      <c r="A33" s="11"/>
      <c r="B33" s="177"/>
      <c r="C33" s="178"/>
      <c r="D33" s="178"/>
      <c r="E33" s="178"/>
      <c r="F33" s="178"/>
      <c r="G33" s="179"/>
      <c r="H33" s="178"/>
      <c r="I33" s="178"/>
      <c r="W33" s="20"/>
      <c r="X33" s="7"/>
      <c r="Y33" s="7"/>
      <c r="Z33" s="7"/>
      <c r="AA33" s="7"/>
      <c r="AB33" s="173"/>
      <c r="AC33" s="173"/>
      <c r="AD33" s="173"/>
      <c r="AE33" s="173"/>
      <c r="AF33" s="173"/>
      <c r="AG33" s="173"/>
      <c r="AH33" s="173"/>
      <c r="AI33" s="173"/>
      <c r="AJ33" s="173"/>
      <c r="AK33" s="180"/>
      <c r="AL33" s="181" t="s">
        <v>100</v>
      </c>
      <c r="AM33" s="182" t="s">
        <v>101</v>
      </c>
      <c r="AN33" s="183"/>
      <c r="AO33" s="184"/>
      <c r="AP33" s="184"/>
      <c r="AQ33" s="184"/>
      <c r="AR33" s="184"/>
      <c r="AS33" s="184"/>
      <c r="AT33" s="184"/>
      <c r="AU33" s="184"/>
      <c r="AV33" s="182"/>
      <c r="AW33" s="182"/>
      <c r="AX33" s="185" t="s">
        <v>102</v>
      </c>
      <c r="AY33" s="185" t="s">
        <v>103</v>
      </c>
      <c r="AZ33" s="182"/>
      <c r="BA33" s="182"/>
      <c r="BB33" s="182"/>
      <c r="BC33" s="182"/>
      <c r="BD33" s="186" t="s">
        <v>104</v>
      </c>
      <c r="BE33" s="182"/>
      <c r="BF33" s="182"/>
      <c r="BG33" s="187"/>
      <c r="BH33" s="187"/>
      <c r="BI33" s="182"/>
      <c r="BJ33" s="173"/>
      <c r="BK33" s="173"/>
      <c r="BL33" s="173"/>
      <c r="BM33" s="173"/>
      <c r="BN33" s="175"/>
      <c r="BO33" s="175"/>
      <c r="BP33" s="175"/>
      <c r="BQ33" s="175"/>
      <c r="BR33" s="175"/>
      <c r="BS33" s="175"/>
      <c r="BT33" s="175"/>
      <c r="BU33" s="175"/>
      <c r="BV33" s="175"/>
      <c r="BW33" s="175"/>
      <c r="BX33" s="44"/>
      <c r="BY33" s="176"/>
      <c r="BZ33" s="175"/>
      <c r="CA33" s="175"/>
      <c r="CB33" s="175"/>
      <c r="CC33" s="173"/>
      <c r="CD33" s="173"/>
    </row>
    <row r="34">
      <c r="A34" s="11"/>
      <c r="B34" s="188" t="s">
        <v>105</v>
      </c>
      <c r="C34" s="189"/>
      <c r="D34" s="190" t="s">
        <v>106</v>
      </c>
      <c r="E34" s="190" t="str">
        <f>text($G$6,"ddd")</f>
        <v>Sat</v>
      </c>
      <c r="F34" s="190" t="str">
        <f>text($G$6+1,"ddd")</f>
        <v>Sun</v>
      </c>
      <c r="G34" s="190" t="str">
        <f>text($G$6+2,"ddd")</f>
        <v>Mon</v>
      </c>
      <c r="H34" s="190" t="str">
        <f>text($G$6+3,"ddd")</f>
        <v>Tue</v>
      </c>
      <c r="I34" s="190" t="str">
        <f>text($G$6+4,"ddd")</f>
        <v>Wed</v>
      </c>
      <c r="J34" s="190" t="str">
        <f>text($G$6+5,"ddd")</f>
        <v>Thu</v>
      </c>
      <c r="K34" s="190" t="str">
        <f>text($G$6+6,"ddd")</f>
        <v>Fri</v>
      </c>
      <c r="L34" s="190" t="s">
        <v>107</v>
      </c>
      <c r="M34" s="189"/>
      <c r="N34" s="190" t="s">
        <v>108</v>
      </c>
      <c r="O34" s="190" t="s">
        <v>109</v>
      </c>
      <c r="P34" s="190" t="s">
        <v>110</v>
      </c>
      <c r="Q34" s="191" t="s">
        <v>111</v>
      </c>
      <c r="R34" s="192" t="s">
        <v>112</v>
      </c>
      <c r="S34" s="193" t="s">
        <v>113</v>
      </c>
      <c r="T34" s="194"/>
      <c r="U34" s="195" t="s">
        <v>114</v>
      </c>
      <c r="V34" s="196"/>
      <c r="W34" s="197" t="s">
        <v>115</v>
      </c>
      <c r="X34" s="173" t="s">
        <v>116</v>
      </c>
      <c r="Y34" s="188" t="s">
        <v>117</v>
      </c>
      <c r="Z34" s="173"/>
      <c r="AA34" s="173"/>
      <c r="AB34" s="173"/>
      <c r="AC34" s="173"/>
      <c r="AD34" s="173"/>
      <c r="AE34" s="173"/>
      <c r="AF34" s="173"/>
      <c r="AG34" s="173"/>
      <c r="AH34" s="173"/>
      <c r="AI34" s="173"/>
      <c r="AJ34" s="173"/>
      <c r="AK34" s="180"/>
      <c r="AL34" s="53"/>
      <c r="AM34" s="54"/>
      <c r="AN34" s="54"/>
      <c r="AO34" s="198"/>
      <c r="AP34" s="198"/>
      <c r="AQ34" s="198"/>
      <c r="AR34" s="198"/>
      <c r="AS34" s="198"/>
      <c r="AT34" s="198"/>
      <c r="AU34" s="198"/>
      <c r="AV34" s="198"/>
      <c r="AW34" s="54"/>
      <c r="AX34" s="198">
        <f>MIN(AW36,AW38,AW40,AW42,AW44,AW46,AW48,AW50,AW52,AW54,AW56,AW58,AW60,AW62,AW64,AW66,AW68,AW70,AW72,AW74,AW76,AW78,AW80,AW82,AW84,AW86,AW88,AW90,AW92,AW94,AW96,AW98,AW100,AW102,AW104,AW106,AW108,AW110,AW112,AW114,AW116,AW118,AW120,AW122,AW124,AW126,AW128,AW130,AW132,AW134,AW136,AW138,AW140)</f>
        <v>0</v>
      </c>
      <c r="AY34" s="198">
        <f>MAX(AW36,AW38,AW40,AW42,AW44,AW46,AW48,AW50,AW52,AW54,AW56,AW58,AW60,AW62,AW64,AW66,AW68,AW70,AW72,AW74,AW76,AW78,AW80,AW82,AW84,AW86,AW88,AW90,AW92,AW94,AW96,AW98,AW100,AW102,AW104,AW106,AW108,AW110,AW112,AW114,AW116,AW118,AW120,AW122,AW124,AW126,AW128,AW130,AW132,AW134,AW136,AW138,AW140)</f>
        <v>0</v>
      </c>
      <c r="AZ34" s="54"/>
      <c r="BA34" s="54"/>
      <c r="BB34" s="54"/>
      <c r="BC34" s="54"/>
      <c r="BD34" s="54"/>
      <c r="BE34" s="54"/>
      <c r="BF34" s="54"/>
      <c r="BG34" s="54"/>
      <c r="BH34" s="199"/>
      <c r="BI34" s="200"/>
      <c r="BJ34" s="173"/>
      <c r="BK34" s="173"/>
      <c r="BL34" s="173"/>
      <c r="BN34" s="175"/>
      <c r="BO34" s="55"/>
      <c r="BP34" s="175"/>
      <c r="BQ34" s="175"/>
      <c r="BR34" s="201" t="s">
        <v>118</v>
      </c>
      <c r="BV34" s="175"/>
      <c r="BW34" s="175"/>
      <c r="BX34" s="44"/>
      <c r="BY34" s="202"/>
      <c r="BZ34" s="203" t="s">
        <v>119</v>
      </c>
      <c r="CB34" s="175"/>
      <c r="CC34" s="173"/>
      <c r="CD34" s="173"/>
    </row>
    <row r="35" ht="12.0" customHeight="1">
      <c r="A35" s="11"/>
      <c r="B35" s="204"/>
      <c r="C35" s="205"/>
      <c r="D35" s="205"/>
      <c r="E35" s="205"/>
      <c r="F35" s="205"/>
      <c r="G35" s="205"/>
      <c r="H35" s="11"/>
      <c r="I35" s="205"/>
      <c r="J35" s="205"/>
      <c r="K35" s="205"/>
      <c r="L35" s="206"/>
      <c r="M35" s="205"/>
      <c r="N35" s="207" t="str">
        <f>if($G$15="","Enter your height in Step 1 to calculate body fat","")</f>
        <v>Enter your height in Step 1 to calculate body fat</v>
      </c>
      <c r="O35" s="6"/>
      <c r="P35" s="6"/>
      <c r="Q35" s="6"/>
      <c r="R35" s="6"/>
      <c r="S35" s="6"/>
      <c r="T35" s="208"/>
      <c r="U35" s="209"/>
      <c r="V35" s="210"/>
      <c r="W35" s="211"/>
      <c r="X35" s="173"/>
      <c r="Y35" s="204"/>
      <c r="Z35" s="173"/>
      <c r="AA35" s="173"/>
      <c r="AB35" s="212">
        <f>today()</f>
        <v>46183</v>
      </c>
      <c r="AC35" s="173"/>
      <c r="AD35" s="173"/>
      <c r="AE35" s="173"/>
      <c r="AF35" s="173"/>
      <c r="AG35" s="173"/>
      <c r="AH35" s="173"/>
      <c r="AI35" s="173"/>
      <c r="AJ35" s="173"/>
      <c r="AK35" s="180"/>
      <c r="AL35" s="53" t="s">
        <v>120</v>
      </c>
      <c r="AM35" s="54" t="str">
        <f>G7</f>
        <v/>
      </c>
      <c r="AN35" s="54"/>
      <c r="AO35" s="198"/>
      <c r="AP35" s="213"/>
      <c r="AQ35" s="213"/>
      <c r="AR35" s="213"/>
      <c r="AS35" s="213"/>
      <c r="AT35" s="213"/>
      <c r="AU35" s="213"/>
      <c r="AV35" s="213"/>
      <c r="AW35" s="214" t="s">
        <v>121</v>
      </c>
      <c r="AX35" s="215">
        <f t="shared" ref="AX35:AY35" si="2">MAX(AX36:AX141)</f>
        <v>0</v>
      </c>
      <c r="AY35" s="215">
        <f t="shared" si="2"/>
        <v>0</v>
      </c>
      <c r="AZ35" s="215" t="s">
        <v>122</v>
      </c>
      <c r="BA35" s="216">
        <f>max(BA36:BA141)</f>
        <v>140</v>
      </c>
      <c r="BB35" s="216">
        <f>vlookup($BA$35,BA36:BB140,2,false)</f>
        <v>11</v>
      </c>
      <c r="BC35" s="182" t="s">
        <v>123</v>
      </c>
      <c r="BD35" s="217" t="s">
        <v>124</v>
      </c>
      <c r="BE35" s="218" t="s">
        <v>125</v>
      </c>
      <c r="BF35" s="54" t="s">
        <v>126</v>
      </c>
      <c r="BG35" s="54" t="s">
        <v>127</v>
      </c>
      <c r="BH35" s="54" t="s">
        <v>128</v>
      </c>
      <c r="BI35" s="54" t="s">
        <v>129</v>
      </c>
      <c r="BJ35" s="173" t="s">
        <v>130</v>
      </c>
      <c r="BK35" s="173"/>
      <c r="BL35" s="219" t="s">
        <v>131</v>
      </c>
      <c r="BN35" s="175"/>
      <c r="BO35" s="220" t="s">
        <v>132</v>
      </c>
      <c r="BP35" s="201"/>
      <c r="BQ35" s="203" t="s">
        <v>133</v>
      </c>
      <c r="BR35" s="203" t="s">
        <v>134</v>
      </c>
      <c r="BS35" s="203" t="s">
        <v>135</v>
      </c>
      <c r="BT35" s="175"/>
      <c r="BU35" s="175"/>
      <c r="BV35" s="203" t="s">
        <v>136</v>
      </c>
      <c r="BW35" s="203" t="s">
        <v>137</v>
      </c>
      <c r="BX35" s="44"/>
      <c r="BY35" s="202"/>
      <c r="BZ35" s="203" t="s">
        <v>138</v>
      </c>
      <c r="CA35" s="203" t="s">
        <v>139</v>
      </c>
      <c r="CB35" s="175"/>
      <c r="CC35" s="173"/>
      <c r="CD35" s="173"/>
    </row>
    <row r="36" ht="15.75" customHeight="1">
      <c r="A36" s="11"/>
      <c r="B36" s="221" t="str">
        <f>IF(G6="","",G6)</f>
        <v/>
      </c>
      <c r="C36" s="222"/>
      <c r="D36" s="223" t="s">
        <v>140</v>
      </c>
      <c r="E36" s="224"/>
      <c r="F36" s="225"/>
      <c r="G36" s="225"/>
      <c r="H36" s="225"/>
      <c r="I36" s="225"/>
      <c r="J36" s="225"/>
      <c r="K36" s="225"/>
      <c r="L36" s="226" t="str">
        <f t="shared" ref="L36:L141" si="6">if(counta(E36:K36)=0,"",AVERAGE(E36:K36))</f>
        <v/>
      </c>
      <c r="M36" s="227"/>
      <c r="N36" s="228"/>
      <c r="O36" s="228"/>
      <c r="P36" s="228"/>
      <c r="Q36" s="229" t="str">
        <f>BL36</f>
        <v/>
      </c>
      <c r="R36" s="228"/>
      <c r="S36" s="230" t="str">
        <f>IF(L36="","",(L36-$G$7))</f>
        <v/>
      </c>
      <c r="T36" s="231"/>
      <c r="U36" s="232" t="str">
        <f>if(BD$24=FALSE,"",IF(L36="","",BC36))</f>
        <v/>
      </c>
      <c r="V36" s="233"/>
      <c r="W36" s="234">
        <f>IF(count(S36:S37)&gt;1,1,0)</f>
        <v>0</v>
      </c>
      <c r="X36" s="235" t="str">
        <f t="shared" ref="X36:X37" si="7">if($Y$36="","","Week 1")</f>
        <v/>
      </c>
      <c r="Y36" s="236" t="str">
        <f>IF(S36="","",text(B36,"MMM-YY"))</f>
        <v/>
      </c>
      <c r="Z36" s="173"/>
      <c r="AA36" s="173"/>
      <c r="AB36" s="212" t="str">
        <f>B36</f>
        <v/>
      </c>
      <c r="AC36" s="237" t="str">
        <f t="shared" ref="AC36:AC88" si="8">AB36</f>
        <v/>
      </c>
      <c r="AD36" s="238">
        <f t="shared" ref="AD36:AI36" si="3">AC36+1</f>
        <v>1</v>
      </c>
      <c r="AE36" s="238">
        <f t="shared" si="3"/>
        <v>2</v>
      </c>
      <c r="AF36" s="238">
        <f t="shared" si="3"/>
        <v>3</v>
      </c>
      <c r="AG36" s="238">
        <f t="shared" si="3"/>
        <v>4</v>
      </c>
      <c r="AH36" s="238">
        <f t="shared" si="3"/>
        <v>5</v>
      </c>
      <c r="AI36" s="239">
        <f t="shared" si="3"/>
        <v>6</v>
      </c>
      <c r="AJ36" s="240">
        <v>1.0</v>
      </c>
      <c r="AK36" s="182"/>
      <c r="AL36" s="182">
        <f t="shared" ref="AL36:AL141" si="10">COUNT(AP36:AV36)</f>
        <v>0</v>
      </c>
      <c r="AM36" s="184" t="str">
        <f>IF(AW36="",AM35,L36)</f>
        <v/>
      </c>
      <c r="AN36" s="182"/>
      <c r="AO36" s="241"/>
      <c r="AP36" s="242" t="str">
        <f>IF(COUNT($E36:$K36)&lt;1,"",IF(E36="",$G$7,E36))</f>
        <v/>
      </c>
      <c r="AQ36" s="242" t="str">
        <f t="shared" ref="AQ36:AV36" si="4">IF(F36="",AP36,F36)</f>
        <v/>
      </c>
      <c r="AR36" s="242" t="str">
        <f t="shared" si="4"/>
        <v/>
      </c>
      <c r="AS36" s="242" t="str">
        <f t="shared" si="4"/>
        <v/>
      </c>
      <c r="AT36" s="242" t="str">
        <f t="shared" si="4"/>
        <v/>
      </c>
      <c r="AU36" s="242" t="str">
        <f t="shared" si="4"/>
        <v/>
      </c>
      <c r="AV36" s="242" t="str">
        <f t="shared" si="4"/>
        <v/>
      </c>
      <c r="AW36" s="243" t="str">
        <f>IF(AL36=0,$G$7,average(AP36:AV36))</f>
        <v/>
      </c>
      <c r="AX36" s="244">
        <f>if(AND(AW36=AX$34,$AL36&gt;0),ROW(),0)</f>
        <v>0</v>
      </c>
      <c r="AY36" s="244">
        <f>if(AND(AW36=AY$34,$AL36&gt;0),ROW(),0)</f>
        <v>0</v>
      </c>
      <c r="AZ36" s="245" t="str">
        <f>IF(AW36="","",AW36-$G$7)</f>
        <v/>
      </c>
      <c r="BA36" s="246">
        <f>if(BB36&gt;0,row(),0)</f>
        <v>36</v>
      </c>
      <c r="BB36" s="246">
        <f>max(if(E36=AW$30,COLUMN(E36),0),if(F36=AW$30,COLUMN(F36),0),if(G36=AW$30,COLUMN(G36),0),if(H36=AW$30,COLUMN(H36),0),if(I36=AW$30,COLUMN(I36),0),if(J36=AW$30,COLUMN(J36),0),if(K36=AW$30,COLUMN(K36),0))</f>
        <v>11</v>
      </c>
      <c r="BC36" s="247" t="str">
        <f>IF(BD36="","",IF(AZ36="","",BD36))</f>
        <v/>
      </c>
      <c r="BD36" s="248">
        <f>IF(AL36=0,$AN$22,IF(AL37=0,$AN$22,AW37+(((-AZ36)*$BD$7)/AL37)))</f>
        <v>0</v>
      </c>
      <c r="BE36" s="249">
        <f>IF(AL36=0,$AN$22,AW37+(((-AZ36)*$BD$7)/AL37))</f>
        <v>0</v>
      </c>
      <c r="BF36" s="182">
        <v>3500.0</v>
      </c>
      <c r="BG36" s="182">
        <f t="shared" ref="BG36:BG37" si="12">BF36*2.20462</f>
        <v>7716.17</v>
      </c>
      <c r="BH36" s="182">
        <f t="shared" ref="BH36:BI36" si="5">BF36*4.184</f>
        <v>14644</v>
      </c>
      <c r="BI36" s="182">
        <f t="shared" si="5"/>
        <v>32284.45528</v>
      </c>
      <c r="BJ36" s="173" t="str">
        <f>text(B36,"YYYY MMM")</f>
        <v/>
      </c>
      <c r="BK36" s="173"/>
      <c r="BL36" s="174" t="str">
        <f>if($G$13="Disable","", if($G$9="","",if(and($G$9="Male",count($N36:$O36)&lt;&gt;2),"",
if(and($G$9="Male",count($N36:$O36)=2),round(if($N36="","",
     if($G$14="cm",86.01*log($N36-$O36)-70.041*log($G$15)+30.3,
     if($G$14="inch",86.01*log(($N36-$O36)*2.54)-70.041*log($G$15*2.54)+30.3))),0),                                         
if(and($G$9="Female",count($N36:$P36)&lt;&gt;3),"",
if(and($G$9="Female",count($N36:$P36)=3),round(if($N36="","",
        if($G$14="cm",495/(1.29579-0.35004*log10($N36+$P36-$O36)+0.221 * log10($G$15))-450,
        if($G$14="inch",495/(1.29579-0.35004*log10(($N36+$P36-$O36)*2.54)+0.221 * log10($G$15*2.54))-450))),0)))))))</f>
        <v/>
      </c>
      <c r="BM36" s="173"/>
      <c r="BN36" s="175"/>
      <c r="BO36" s="250" t="str">
        <f>IFERROR(__xludf.DUMMYFUNCTION("filter($L$36:$L141,$D$36:$D141&lt;&gt;"""",$D$36:$D141=""Weight"")"),"")</f>
        <v/>
      </c>
      <c r="BP36" s="251" t="str">
        <f t="shared" ref="BP36:BP39" si="14">$G$7</f>
        <v/>
      </c>
      <c r="BQ36" s="252" t="str">
        <f>IFERROR(__xludf.DUMMYFUNCTION("filter($Q$36:$Q141,$D$36:$D141=""Weight"")"),"")</f>
        <v/>
      </c>
      <c r="BR36" s="250" t="str">
        <f>IFERROR(__xludf.DUMMYFUNCTION("filter($R$36:$R141,$D$36:$D141=""Weight"")"),"")</f>
        <v/>
      </c>
      <c r="BS36" s="250" t="str">
        <f t="shared" ref="BS36:BS141" si="15">if($G$13="Enable",if(BQ36&lt;&gt;"",BQ36,BR36),if(BR36&lt;&gt;"",BR36,BQ36))</f>
        <v/>
      </c>
      <c r="BT36" s="250" t="str">
        <f t="shared" ref="BT36:BT39" si="16">if(and($G$13="Enable",$G$19&lt;&gt;""),$G$19,$G$8)</f>
        <v/>
      </c>
      <c r="BU36" s="253"/>
      <c r="BV36" s="254" t="b">
        <f t="shared" ref="BV36:BV141" si="17">if($BP36&lt;&gt;"",
 if($G$9="Male",
  if(and($G$5="lb",$BT36&lt;20),1,
  if(and($G$5="lb",$BT36&gt;=20,$BT36&lt;=25),0.8,
  if(and($G$5="lb",$BT36&gt;25),0.73,
  if(and($G$5="kg",$BT36&lt;20),2.2,
  if(and($G$5="kg",$BT36&gt;=20,$BT36&lt;=25),1.76,
  if(and($G$5="kg",$BT36&gt;25),1.606)))))),
 if($G$9="Female",
  if(and($G$5="lb",$BT36&lt;=25),1,
  if(and($G$5="lb",$BT36&gt;25),0.8,
  if(and($G$5="kg",$BT36&lt;=25),2.2,
  if(and($G$5="kg",$BT36&gt;25),1.76,"")))),"")))</f>
        <v>0</v>
      </c>
      <c r="BW36" s="175" t="str">
        <f t="shared" ref="BW36:BW39" si="18">if($BP36&lt;&gt;"",$BP36*BV36,"")</f>
        <v/>
      </c>
      <c r="BX36" s="44" t="b">
        <f t="shared" ref="BX36:BX141" si="19">if($BP36&lt;&gt;"",
 if($G$9="Male",
  if(and($G$5="lb",$BT36&lt;20),0.8,
  if(and($G$5="lb",$BT36&gt;=20),0.73,
  if(and($G$5="kg",$BT36&lt;20),1.76,
  if(and($G$5="kg",$BT36&gt;=20),1.606)))),
 if($G$9="Female",
    if($G$5="lb",0.8,1.76),"")))</f>
        <v>0</v>
      </c>
      <c r="BY36" s="202" t="b">
        <f t="shared" ref="BY36:BY141" si="20">if($BP36&lt;&gt;"",
 if($G$9="Male",
  if(and($G$5="lb",$BT36&lt;20),1.2,
  if(and($G$5="lb",$BT36&gt;=20),1,
  if(and($G$5="kg",$BT36&lt;20),2.64,
  if(and($G$5="kg",$BT36&gt;=20),2.2)))),
 if($G$9="Female",
  if($G$5="lb",1.4,3.08),"")))</f>
        <v>0</v>
      </c>
      <c r="BZ36" s="203">
        <f>BP36*BX36</f>
        <v>0</v>
      </c>
      <c r="CA36" s="175">
        <f>BP36*BY36</f>
        <v>0</v>
      </c>
      <c r="CB36" s="175"/>
      <c r="CC36" s="173"/>
      <c r="CD36" s="173"/>
    </row>
    <row r="37" ht="15.75" customHeight="1">
      <c r="A37" s="11"/>
      <c r="B37" s="255"/>
      <c r="C37" s="256"/>
      <c r="D37" s="257" t="s">
        <v>141</v>
      </c>
      <c r="E37" s="258"/>
      <c r="F37" s="258"/>
      <c r="G37" s="258"/>
      <c r="H37" s="259"/>
      <c r="I37" s="259"/>
      <c r="J37" s="259"/>
      <c r="K37" s="259"/>
      <c r="L37" s="260" t="str">
        <f t="shared" si="6"/>
        <v/>
      </c>
      <c r="M37" s="261"/>
      <c r="N37" s="255"/>
      <c r="O37" s="255"/>
      <c r="P37" s="255"/>
      <c r="Q37" s="255"/>
      <c r="R37" s="255"/>
      <c r="S37" s="255"/>
      <c r="T37" s="231"/>
      <c r="U37" s="255"/>
      <c r="V37" s="233"/>
      <c r="W37" s="262"/>
      <c r="X37" s="235" t="str">
        <f t="shared" si="7"/>
        <v/>
      </c>
      <c r="Y37" s="263"/>
      <c r="Z37" s="173"/>
      <c r="AA37" s="173"/>
      <c r="AB37" s="212" t="str">
        <f>B38</f>
        <v/>
      </c>
      <c r="AC37" s="264" t="str">
        <f t="shared" si="8"/>
        <v/>
      </c>
      <c r="AD37" s="212">
        <f t="shared" ref="AD37:AI37" si="9">AC37+1</f>
        <v>1</v>
      </c>
      <c r="AE37" s="212">
        <f t="shared" si="9"/>
        <v>2</v>
      </c>
      <c r="AF37" s="212">
        <f t="shared" si="9"/>
        <v>3</v>
      </c>
      <c r="AG37" s="212">
        <f t="shared" si="9"/>
        <v>4</v>
      </c>
      <c r="AH37" s="212">
        <f t="shared" si="9"/>
        <v>5</v>
      </c>
      <c r="AI37" s="265">
        <f t="shared" si="9"/>
        <v>6</v>
      </c>
      <c r="AJ37" s="266">
        <f>AJ36+0.5</f>
        <v>1.5</v>
      </c>
      <c r="AK37" s="54"/>
      <c r="AL37" s="54">
        <f t="shared" si="10"/>
        <v>0</v>
      </c>
      <c r="AM37" s="183" t="str">
        <f>AM36</f>
        <v/>
      </c>
      <c r="AN37" s="54"/>
      <c r="AO37" s="267"/>
      <c r="AP37" s="242" t="str">
        <f t="shared" ref="AP37:AP141" si="22">IF(COUNT($E37:$K37)&lt;1,"",IF(E37="",AQ31,E37))</f>
        <v/>
      </c>
      <c r="AQ37" s="242" t="str">
        <f t="shared" ref="AQ37:AV37" si="11">IF(F37="",AP37,F37)</f>
        <v/>
      </c>
      <c r="AR37" s="242" t="str">
        <f t="shared" si="11"/>
        <v/>
      </c>
      <c r="AS37" s="242" t="str">
        <f t="shared" si="11"/>
        <v/>
      </c>
      <c r="AT37" s="242" t="str">
        <f t="shared" si="11"/>
        <v/>
      </c>
      <c r="AU37" s="242" t="str">
        <f t="shared" si="11"/>
        <v/>
      </c>
      <c r="AV37" s="242" t="str">
        <f t="shared" si="11"/>
        <v/>
      </c>
      <c r="AW37" s="268" t="str">
        <f>IF(AL37=0,"",average(AP37:AV37))</f>
        <v/>
      </c>
      <c r="AX37" s="269"/>
      <c r="AY37" s="270"/>
      <c r="AZ37" s="271"/>
      <c r="BA37" s="246"/>
      <c r="BB37" s="246"/>
      <c r="BC37" s="263"/>
      <c r="BD37" s="69"/>
      <c r="BE37" s="69"/>
      <c r="BF37" s="54">
        <v>13.0</v>
      </c>
      <c r="BG37" s="54">
        <f t="shared" si="12"/>
        <v>28.66006</v>
      </c>
      <c r="BH37" s="54">
        <f t="shared" ref="BH37:BI37" si="13">BF37*4.184</f>
        <v>54.392</v>
      </c>
      <c r="BI37" s="54">
        <f t="shared" si="13"/>
        <v>119.913691</v>
      </c>
      <c r="BK37" s="173"/>
      <c r="BM37" s="173"/>
      <c r="BN37" s="175"/>
      <c r="BO37" s="250" t="str">
        <f>IFERROR(__xludf.DUMMYFUNCTION("""COMPUTED_VALUE"""),"")</f>
        <v/>
      </c>
      <c r="BP37" s="251" t="str">
        <f t="shared" si="14"/>
        <v/>
      </c>
      <c r="BQ37" s="250" t="str">
        <f>IFERROR(__xludf.DUMMYFUNCTION("""COMPUTED_VALUE"""),"")</f>
        <v/>
      </c>
      <c r="BR37" s="252"/>
      <c r="BS37" s="250" t="str">
        <f t="shared" si="15"/>
        <v/>
      </c>
      <c r="BT37" s="250" t="str">
        <f t="shared" si="16"/>
        <v/>
      </c>
      <c r="BU37" s="253" t="str">
        <f t="shared" ref="BU37:BU38" si="24">BT36</f>
        <v/>
      </c>
      <c r="BV37" s="254" t="b">
        <f t="shared" si="17"/>
        <v>0</v>
      </c>
      <c r="BW37" s="175" t="str">
        <f t="shared" si="18"/>
        <v/>
      </c>
      <c r="BX37" s="44" t="b">
        <f t="shared" si="19"/>
        <v>0</v>
      </c>
      <c r="BY37" s="202" t="b">
        <f t="shared" si="20"/>
        <v>0</v>
      </c>
      <c r="BZ37" s="203">
        <f t="shared" ref="BZ37:BZ141" si="25">if(BW37&lt;&gt;BW36,BP37*BX37,BZ36)</f>
        <v>0</v>
      </c>
      <c r="CA37" s="175">
        <f t="shared" ref="CA37:CA141" si="26">if(BW37&lt;&gt;BW36,BP37*BY37,CA36)</f>
        <v>0</v>
      </c>
      <c r="CB37" s="175"/>
      <c r="CC37" s="173"/>
      <c r="CD37" s="173"/>
    </row>
    <row r="38" ht="15.75" customHeight="1">
      <c r="A38" s="11"/>
      <c r="B38" s="221" t="str">
        <f>IF(B36="","",B36+7)</f>
        <v/>
      </c>
      <c r="C38" s="222"/>
      <c r="D38" s="223" t="str">
        <f t="shared" ref="D38:D141" si="27">D36</f>
        <v>Weight</v>
      </c>
      <c r="E38" s="272"/>
      <c r="F38" s="273"/>
      <c r="G38" s="274"/>
      <c r="H38" s="274"/>
      <c r="I38" s="274"/>
      <c r="J38" s="274"/>
      <c r="K38" s="274"/>
      <c r="L38" s="226" t="str">
        <f t="shared" si="6"/>
        <v/>
      </c>
      <c r="M38" s="275"/>
      <c r="N38" s="228"/>
      <c r="O38" s="228"/>
      <c r="P38" s="228"/>
      <c r="Q38" s="276" t="str">
        <f>BL38</f>
        <v/>
      </c>
      <c r="R38" s="228"/>
      <c r="S38" s="230" t="str">
        <f>IFERROR(__xludf.DUMMYFUNCTION("IF(L38="""","""",(L38-index(filter($L$36:L36,$L$36:L36&lt;&gt;"""",ISEVEN(row($L$36:L36))),count(filter($L$36:L36,$L$36:L36&lt;&gt;"""",iseven(row($L$36:L36)))),1)))"),"")</f>
        <v/>
      </c>
      <c r="T38" s="231"/>
      <c r="U38" s="232" t="str">
        <f>if(BD$24=FALSE,"",IF(L38="","",BC38))</f>
        <v/>
      </c>
      <c r="V38" s="233"/>
      <c r="W38" s="234">
        <f>IF(count(S38:S39)&gt;1,1,0)</f>
        <v>0</v>
      </c>
      <c r="X38" s="235" t="str">
        <f>if(Y38="","","Week 2")</f>
        <v/>
      </c>
      <c r="Y38" s="236" t="str">
        <f>IF(S38="","",text(B38,"MMM-YY"))</f>
        <v/>
      </c>
      <c r="Z38" s="173"/>
      <c r="AA38" s="173"/>
      <c r="AB38" s="212" t="str">
        <f>B40</f>
        <v/>
      </c>
      <c r="AC38" s="264" t="str">
        <f t="shared" si="8"/>
        <v/>
      </c>
      <c r="AD38" s="212">
        <f t="shared" ref="AD38:AI38" si="21">AC38+1</f>
        <v>1</v>
      </c>
      <c r="AE38" s="212">
        <f t="shared" si="21"/>
        <v>2</v>
      </c>
      <c r="AF38" s="212">
        <f t="shared" si="21"/>
        <v>3</v>
      </c>
      <c r="AG38" s="212">
        <f t="shared" si="21"/>
        <v>4</v>
      </c>
      <c r="AH38" s="212">
        <f t="shared" si="21"/>
        <v>5</v>
      </c>
      <c r="AI38" s="265">
        <f t="shared" si="21"/>
        <v>6</v>
      </c>
      <c r="AJ38" s="266">
        <f>AJ36+1</f>
        <v>2</v>
      </c>
      <c r="AK38" s="277">
        <v>1.0</v>
      </c>
      <c r="AL38" s="54">
        <f t="shared" si="10"/>
        <v>0</v>
      </c>
      <c r="AM38" s="198" t="str">
        <f>IF(K38="",AM36,K38)</f>
        <v/>
      </c>
      <c r="AN38" s="54"/>
      <c r="AO38" s="241"/>
      <c r="AP38" s="242" t="str">
        <f t="shared" si="22"/>
        <v/>
      </c>
      <c r="AQ38" s="242" t="str">
        <f t="shared" ref="AQ38:AV38" si="23">IF(F38="",AP38,F38)</f>
        <v/>
      </c>
      <c r="AR38" s="242" t="str">
        <f t="shared" si="23"/>
        <v/>
      </c>
      <c r="AS38" s="242" t="str">
        <f t="shared" si="23"/>
        <v/>
      </c>
      <c r="AT38" s="242" t="str">
        <f t="shared" si="23"/>
        <v/>
      </c>
      <c r="AU38" s="242" t="str">
        <f t="shared" si="23"/>
        <v/>
      </c>
      <c r="AV38" s="242" t="str">
        <f t="shared" si="23"/>
        <v/>
      </c>
      <c r="AW38" s="278" t="str">
        <f t="shared" ref="AW38:AW141" si="30">IF(AL38=0,AW36,average(AP38:AV38))</f>
        <v/>
      </c>
      <c r="AX38" s="244">
        <f>if(AND(AW38=AX$34,$AL38&gt;0),ROW(),0)</f>
        <v>0</v>
      </c>
      <c r="AY38" s="244">
        <f>if(AND(AW38=AY$34,$AL38&gt;0),ROW(),0)</f>
        <v>0</v>
      </c>
      <c r="AZ38" s="279" t="str">
        <f>IF(AW38="","",AW38-AW36)</f>
        <v/>
      </c>
      <c r="BA38" s="246">
        <f>if(BB38&gt;0,row(),0)</f>
        <v>38</v>
      </c>
      <c r="BB38" s="246">
        <f>max(if(E38=AW$30,COLUMN(E38),0),if(F38=AW$30,COLUMN(F38),0),if(G38=AW$30,COLUMN(G38),0),if(H38=AW$30,COLUMN(H38),0),if(I38=AW$30,COLUMN(I38),0),if(J38=AW$30,COLUMN(J38),0),if(K38=AW$30,COLUMN(K38),0))</f>
        <v>11</v>
      </c>
      <c r="BC38" s="247" t="str">
        <f>IF(BD38="","",IF(AZ38="","",BD38))</f>
        <v/>
      </c>
      <c r="BD38" s="248">
        <f>IF(AL38=0,BD36,IF(AL39=0,BD36,AW39+(((-AZ38)*$BD$7)/AL39)))</f>
        <v>0</v>
      </c>
      <c r="BE38" s="249">
        <f>IF(AL38=0,BE36,IF(AL39=0,BE36,AW39+(((-AZ38)*$BD$7)/AL39)))</f>
        <v>0</v>
      </c>
      <c r="BF38" s="54"/>
      <c r="BG38" s="54"/>
      <c r="BH38" s="54"/>
      <c r="BI38" s="54"/>
      <c r="BJ38" s="173" t="str">
        <f>text(B38,"YYYY MMM")</f>
        <v/>
      </c>
      <c r="BK38" s="173"/>
      <c r="BL38" s="174" t="str">
        <f>if($G$13="Disable","", if($G$9="","",if(and($G$9="Male",count($N38:$O38)&lt;&gt;2),"",
if(and($G$9="Male",count($N38:$O38)=2),round(if($N38="","",
     if($G$14="cm",86.01*log($N38-$O38)-70.041*log($G$15)+30.3,
     if($G$14="inch",86.01*log(($N38-$O38)*2.54)-70.041*log($G$15*2.54)+30.3))),0),                                         
if(and($G$9="Female",count($N38:$P38)&lt;&gt;3),"",
if(and($G$9="Female",count($N38:$P38)=3),round(if($N38="","",
        if($G$14="cm",495/(1.29579-0.35004*log10($N38+$P38-$O38)+0.221 * log10($G$15))-450,
        if($G$14="inch",495/(1.29579-0.35004*log10(($N38+$P38-$O38)*2.54)+0.221 * log10($G$15*2.54))-450))),0)))))))</f>
        <v/>
      </c>
      <c r="BM38" s="173"/>
      <c r="BN38" s="175"/>
      <c r="BO38" s="250" t="str">
        <f>IFERROR(__xludf.DUMMYFUNCTION("""COMPUTED_VALUE"""),"")</f>
        <v/>
      </c>
      <c r="BP38" s="251" t="str">
        <f t="shared" si="14"/>
        <v/>
      </c>
      <c r="BQ38" s="250" t="str">
        <f>IFERROR(__xludf.DUMMYFUNCTION("""COMPUTED_VALUE"""),"")</f>
        <v/>
      </c>
      <c r="BR38" s="252"/>
      <c r="BS38" s="250" t="str">
        <f t="shared" si="15"/>
        <v/>
      </c>
      <c r="BT38" s="250" t="str">
        <f t="shared" si="16"/>
        <v/>
      </c>
      <c r="BU38" s="253" t="str">
        <f t="shared" si="24"/>
        <v/>
      </c>
      <c r="BV38" s="254" t="b">
        <f t="shared" si="17"/>
        <v>0</v>
      </c>
      <c r="BW38" s="175" t="str">
        <f t="shared" si="18"/>
        <v/>
      </c>
      <c r="BX38" s="44" t="b">
        <f t="shared" si="19"/>
        <v>0</v>
      </c>
      <c r="BY38" s="202" t="b">
        <f t="shared" si="20"/>
        <v>0</v>
      </c>
      <c r="BZ38" s="203">
        <f t="shared" si="25"/>
        <v>0</v>
      </c>
      <c r="CA38" s="175">
        <f t="shared" si="26"/>
        <v>0</v>
      </c>
      <c r="CB38" s="175"/>
      <c r="CC38" s="173"/>
      <c r="CD38" s="173"/>
    </row>
    <row r="39" ht="15.75" customHeight="1">
      <c r="A39" s="11"/>
      <c r="B39" s="255"/>
      <c r="C39" s="256"/>
      <c r="D39" s="257" t="str">
        <f t="shared" si="27"/>
        <v>Calories</v>
      </c>
      <c r="E39" s="258"/>
      <c r="F39" s="280"/>
      <c r="G39" s="259"/>
      <c r="H39" s="259"/>
      <c r="I39" s="259"/>
      <c r="J39" s="259"/>
      <c r="K39" s="259"/>
      <c r="L39" s="260" t="str">
        <f t="shared" si="6"/>
        <v/>
      </c>
      <c r="M39" s="281"/>
      <c r="N39" s="255"/>
      <c r="O39" s="255"/>
      <c r="P39" s="255"/>
      <c r="Q39" s="255"/>
      <c r="R39" s="255"/>
      <c r="S39" s="255"/>
      <c r="T39" s="231"/>
      <c r="U39" s="255"/>
      <c r="V39" s="233"/>
      <c r="W39" s="262"/>
      <c r="X39" s="262"/>
      <c r="Y39" s="263"/>
      <c r="Z39" s="173"/>
      <c r="AA39" s="173"/>
      <c r="AB39" s="212" t="str">
        <f>B42</f>
        <v/>
      </c>
      <c r="AC39" s="264" t="str">
        <f t="shared" si="8"/>
        <v/>
      </c>
      <c r="AD39" s="212">
        <f t="shared" ref="AD39:AI39" si="28">AC39+1</f>
        <v>1</v>
      </c>
      <c r="AE39" s="212">
        <f t="shared" si="28"/>
        <v>2</v>
      </c>
      <c r="AF39" s="212">
        <f t="shared" si="28"/>
        <v>3</v>
      </c>
      <c r="AG39" s="212">
        <f t="shared" si="28"/>
        <v>4</v>
      </c>
      <c r="AH39" s="212">
        <f t="shared" si="28"/>
        <v>5</v>
      </c>
      <c r="AI39" s="265">
        <f t="shared" si="28"/>
        <v>6</v>
      </c>
      <c r="AJ39" s="266">
        <f>AJ38+0.5</f>
        <v>2.5</v>
      </c>
      <c r="AK39" s="69"/>
      <c r="AL39" s="54">
        <f t="shared" si="10"/>
        <v>0</v>
      </c>
      <c r="AM39" s="183" t="str">
        <f>AM38</f>
        <v/>
      </c>
      <c r="AN39" s="54"/>
      <c r="AO39" s="267"/>
      <c r="AP39" s="242" t="str">
        <f t="shared" si="22"/>
        <v/>
      </c>
      <c r="AQ39" s="242" t="str">
        <f t="shared" ref="AQ39:AV39" si="29">IF(F39="",AP39,F39)</f>
        <v/>
      </c>
      <c r="AR39" s="242" t="str">
        <f t="shared" si="29"/>
        <v/>
      </c>
      <c r="AS39" s="242" t="str">
        <f t="shared" si="29"/>
        <v/>
      </c>
      <c r="AT39" s="242" t="str">
        <f t="shared" si="29"/>
        <v/>
      </c>
      <c r="AU39" s="242" t="str">
        <f t="shared" si="29"/>
        <v/>
      </c>
      <c r="AV39" s="242" t="str">
        <f t="shared" si="29"/>
        <v/>
      </c>
      <c r="AW39" s="268" t="str">
        <f t="shared" si="30"/>
        <v/>
      </c>
      <c r="AX39" s="269"/>
      <c r="AY39" s="270"/>
      <c r="AZ39" s="271"/>
      <c r="BA39" s="246"/>
      <c r="BB39" s="246"/>
      <c r="BC39" s="263"/>
      <c r="BD39" s="66"/>
      <c r="BE39" s="69"/>
      <c r="BF39" s="54"/>
      <c r="BG39" s="54"/>
      <c r="BH39" s="54"/>
      <c r="BI39" s="54"/>
      <c r="BK39" s="173"/>
      <c r="BM39" s="173"/>
      <c r="BN39" s="175"/>
      <c r="BO39" s="250" t="str">
        <f>IFERROR(__xludf.DUMMYFUNCTION("""COMPUTED_VALUE"""),"")</f>
        <v/>
      </c>
      <c r="BP39" s="251" t="str">
        <f t="shared" si="14"/>
        <v/>
      </c>
      <c r="BQ39" s="250" t="str">
        <f>IFERROR(__xludf.DUMMYFUNCTION("""COMPUTED_VALUE"""),"")</f>
        <v/>
      </c>
      <c r="BR39" s="252"/>
      <c r="BS39" s="250" t="str">
        <f t="shared" si="15"/>
        <v/>
      </c>
      <c r="BT39" s="250" t="str">
        <f t="shared" si="16"/>
        <v/>
      </c>
      <c r="BU39" s="253" t="str">
        <f t="shared" ref="BU39:BU141" si="33">if(BS39="",BU38,BT38)</f>
        <v/>
      </c>
      <c r="BV39" s="254" t="b">
        <f t="shared" si="17"/>
        <v>0</v>
      </c>
      <c r="BW39" s="175" t="str">
        <f t="shared" si="18"/>
        <v/>
      </c>
      <c r="BX39" s="44" t="b">
        <f t="shared" si="19"/>
        <v>0</v>
      </c>
      <c r="BY39" s="202" t="b">
        <f t="shared" si="20"/>
        <v>0</v>
      </c>
      <c r="BZ39" s="203">
        <f t="shared" si="25"/>
        <v>0</v>
      </c>
      <c r="CA39" s="175">
        <f t="shared" si="26"/>
        <v>0</v>
      </c>
      <c r="CB39" s="175"/>
      <c r="CC39" s="173"/>
      <c r="CD39" s="173"/>
    </row>
    <row r="40" ht="15.75" customHeight="1">
      <c r="A40" s="11"/>
      <c r="B40" s="221" t="str">
        <f>IF(B38="","",B38+7)</f>
        <v/>
      </c>
      <c r="C40" s="222"/>
      <c r="D40" s="223" t="str">
        <f t="shared" si="27"/>
        <v>Weight</v>
      </c>
      <c r="E40" s="272"/>
      <c r="F40" s="273"/>
      <c r="G40" s="274"/>
      <c r="H40" s="274"/>
      <c r="I40" s="274"/>
      <c r="J40" s="274"/>
      <c r="K40" s="274"/>
      <c r="L40" s="226" t="str">
        <f t="shared" si="6"/>
        <v/>
      </c>
      <c r="M40" s="275"/>
      <c r="N40" s="228"/>
      <c r="O40" s="228"/>
      <c r="P40" s="228"/>
      <c r="Q40" s="276" t="str">
        <f>BL40</f>
        <v/>
      </c>
      <c r="R40" s="228"/>
      <c r="S40" s="230" t="str">
        <f>IFERROR(__xludf.DUMMYFUNCTION("IF(L40="""","""",(L40-index(filter($L$36:L38,$L$36:L38&lt;&gt;"""",ISEVEN(row($L$36:L38))),count(filter($L$36:L38,$L$36:L38&lt;&gt;"""",iseven(row($L$36:L38)))),1)))"),"")</f>
        <v/>
      </c>
      <c r="T40" s="231"/>
      <c r="U40" s="232" t="str">
        <f>if(BD$24=FALSE,"",IF(L40="","",BC40))</f>
        <v/>
      </c>
      <c r="V40" s="233"/>
      <c r="W40" s="234">
        <f>IF(count(S40:S41)&gt;1,1,0)</f>
        <v>0</v>
      </c>
      <c r="X40" s="235" t="str">
        <f>if(Y40="","","Week 3")</f>
        <v/>
      </c>
      <c r="Y40" s="236" t="str">
        <f>IF(S40="","",text(B40,"MMM-YY"))</f>
        <v/>
      </c>
      <c r="Z40" s="173"/>
      <c r="AA40" s="173"/>
      <c r="AB40" s="212" t="str">
        <f>B44</f>
        <v/>
      </c>
      <c r="AC40" s="264" t="str">
        <f t="shared" si="8"/>
        <v/>
      </c>
      <c r="AD40" s="212">
        <f t="shared" ref="AD40:AI40" si="31">AC40+1</f>
        <v>1</v>
      </c>
      <c r="AE40" s="212">
        <f t="shared" si="31"/>
        <v>2</v>
      </c>
      <c r="AF40" s="212">
        <f t="shared" si="31"/>
        <v>3</v>
      </c>
      <c r="AG40" s="212">
        <f t="shared" si="31"/>
        <v>4</v>
      </c>
      <c r="AH40" s="212">
        <f t="shared" si="31"/>
        <v>5</v>
      </c>
      <c r="AI40" s="265">
        <f t="shared" si="31"/>
        <v>6</v>
      </c>
      <c r="AJ40" s="266">
        <f>AJ38+1</f>
        <v>3</v>
      </c>
      <c r="AK40" s="277">
        <v>2.0</v>
      </c>
      <c r="AL40" s="54">
        <f t="shared" si="10"/>
        <v>0</v>
      </c>
      <c r="AM40" s="198" t="str">
        <f>IF(K40="",AM38,K40)</f>
        <v/>
      </c>
      <c r="AN40" s="54"/>
      <c r="AO40" s="241"/>
      <c r="AP40" s="242" t="str">
        <f t="shared" si="22"/>
        <v/>
      </c>
      <c r="AQ40" s="242" t="str">
        <f t="shared" ref="AQ40:AV40" si="32">IF(F40="",AP40,F40)</f>
        <v/>
      </c>
      <c r="AR40" s="242" t="str">
        <f t="shared" si="32"/>
        <v/>
      </c>
      <c r="AS40" s="242" t="str">
        <f t="shared" si="32"/>
        <v/>
      </c>
      <c r="AT40" s="242" t="str">
        <f t="shared" si="32"/>
        <v/>
      </c>
      <c r="AU40" s="242" t="str">
        <f t="shared" si="32"/>
        <v/>
      </c>
      <c r="AV40" s="242" t="str">
        <f t="shared" si="32"/>
        <v/>
      </c>
      <c r="AW40" s="278" t="str">
        <f t="shared" si="30"/>
        <v/>
      </c>
      <c r="AX40" s="244">
        <f>if(AND(AW40=AX$34,$AL40&gt;0),ROW(),0)</f>
        <v>0</v>
      </c>
      <c r="AY40" s="244">
        <f>if(AND(AW40=AY$34,$AL40&gt;0),ROW(),0)</f>
        <v>0</v>
      </c>
      <c r="AZ40" s="279" t="str">
        <f>IF(AW40="","",AW40-AW38)</f>
        <v/>
      </c>
      <c r="BA40" s="246">
        <f>if(BB40&gt;0,row(),0)</f>
        <v>40</v>
      </c>
      <c r="BB40" s="246">
        <f>max(if(E40=AW$30,COLUMN(E40),0),if(F40=AW$30,COLUMN(F40),0),if(G40=AW$30,COLUMN(G40),0),if(H40=AW$30,COLUMN(H40),0),if(I40=AW$30,COLUMN(I40),0),if(J40=AW$30,COLUMN(J40),0),if(K40=AW$30,COLUMN(K40),0))</f>
        <v>11</v>
      </c>
      <c r="BC40" s="247" t="str">
        <f>IF(BD40="","",IF(AZ40="","",BD40))</f>
        <v/>
      </c>
      <c r="BD40" s="248">
        <f>IF(AL40=0,BD38,IF(AL41=0,BD38,((AW41+(((-AZ40)*$BD$7)/AL41)+sum($BE$38:BE38))/AK40)))</f>
        <v>0</v>
      </c>
      <c r="BE40" s="249">
        <f>IF(AL40=0,BE38,IF(AL41=0,BE38,AW41+(((-AZ40)*$BD$7)/AL41)))</f>
        <v>0</v>
      </c>
      <c r="BF40" s="54"/>
      <c r="BG40" s="54"/>
      <c r="BH40" s="54"/>
      <c r="BI40" s="54"/>
      <c r="BJ40" s="173" t="str">
        <f>text(B40,"YYYY MMM")</f>
        <v/>
      </c>
      <c r="BK40" s="173"/>
      <c r="BL40" s="174" t="str">
        <f>if($G$13="Disable","", if($G$9="","",if(and($G$9="Male",count($N40:$O40)&lt;&gt;2),"",
if(and($G$9="Male",count($N40:$O40)=2),round(if($N40="","",
     if($G$14="cm",86.01*log($N40-$O40)-70.041*log($G$15)+30.3,
     if($G$14="inch",86.01*log(($N40-$O40)*2.54)-70.041*log($G$15*2.54)+30.3))),0),                                         
if(and($G$9="Female",count($N40:$P40)&lt;&gt;3),"",
if(and($G$9="Female",count($N40:$P40)=3),round(if($N40="","",
        if($G$14="cm",495/(1.29579-0.35004*log10($N40+$P40-$O40)+0.221 * log10($G$15))-450,
        if($G$14="inch",495/(1.29579-0.35004*log10(($N40+$P40-$O40)*2.54)+0.221 * log10($G$15*2.54))-450))),0)))))))</f>
        <v/>
      </c>
      <c r="BM40" s="173"/>
      <c r="BN40" s="175"/>
      <c r="BO40" s="250" t="str">
        <f>IFERROR(__xludf.DUMMYFUNCTION("""COMPUTED_VALUE"""),"")</f>
        <v/>
      </c>
      <c r="BP40" s="250" t="str">
        <f t="shared" ref="BP40:BP141" si="36">if(BO40&lt;&gt;"",BO40,BP39)</f>
        <v/>
      </c>
      <c r="BQ40" s="250" t="str">
        <f>IFERROR(__xludf.DUMMYFUNCTION("""COMPUTED_VALUE"""),"")</f>
        <v/>
      </c>
      <c r="BR40" s="250"/>
      <c r="BS40" s="250" t="str">
        <f t="shared" si="15"/>
        <v/>
      </c>
      <c r="BT40" s="250" t="str">
        <f t="shared" ref="BT40:BT141" si="37">if($BP40&lt;&gt;"",if(BS40&lt;&gt;"",BS40,BT39),"")</f>
        <v/>
      </c>
      <c r="BU40" s="253" t="str">
        <f t="shared" si="33"/>
        <v/>
      </c>
      <c r="BV40" s="254" t="b">
        <f t="shared" si="17"/>
        <v>0</v>
      </c>
      <c r="BW40" s="175" t="str">
        <f t="shared" ref="BW40:BW141" si="38">if($BP40&lt;&gt;"",if(abs(($BP40*$BV40)-$BW39)&gt;=5,$BP40*$BV40,$BW39),"")</f>
        <v/>
      </c>
      <c r="BX40" s="44" t="b">
        <f t="shared" si="19"/>
        <v>0</v>
      </c>
      <c r="BY40" s="202" t="b">
        <f t="shared" si="20"/>
        <v>0</v>
      </c>
      <c r="BZ40" s="203">
        <f t="shared" si="25"/>
        <v>0</v>
      </c>
      <c r="CA40" s="175">
        <f t="shared" si="26"/>
        <v>0</v>
      </c>
      <c r="CB40" s="175"/>
      <c r="CC40" s="173"/>
      <c r="CD40" s="173"/>
    </row>
    <row r="41" ht="15.75" customHeight="1">
      <c r="A41" s="11"/>
      <c r="B41" s="255"/>
      <c r="C41" s="256"/>
      <c r="D41" s="257" t="str">
        <f t="shared" si="27"/>
        <v>Calories</v>
      </c>
      <c r="E41" s="258"/>
      <c r="F41" s="258"/>
      <c r="G41" s="258"/>
      <c r="H41" s="259"/>
      <c r="I41" s="259"/>
      <c r="J41" s="259"/>
      <c r="K41" s="259"/>
      <c r="L41" s="260" t="str">
        <f t="shared" si="6"/>
        <v/>
      </c>
      <c r="M41" s="281"/>
      <c r="N41" s="255"/>
      <c r="O41" s="255"/>
      <c r="P41" s="255"/>
      <c r="Q41" s="255"/>
      <c r="R41" s="255"/>
      <c r="S41" s="255"/>
      <c r="T41" s="231"/>
      <c r="U41" s="255"/>
      <c r="V41" s="233"/>
      <c r="W41" s="262"/>
      <c r="X41" s="262"/>
      <c r="Y41" s="263"/>
      <c r="Z41" s="173"/>
      <c r="AA41" s="173"/>
      <c r="AB41" s="212" t="str">
        <f>B46</f>
        <v/>
      </c>
      <c r="AC41" s="264" t="str">
        <f t="shared" si="8"/>
        <v/>
      </c>
      <c r="AD41" s="212">
        <f t="shared" ref="AD41:AI41" si="34">AC41+1</f>
        <v>1</v>
      </c>
      <c r="AE41" s="212">
        <f t="shared" si="34"/>
        <v>2</v>
      </c>
      <c r="AF41" s="212">
        <f t="shared" si="34"/>
        <v>3</v>
      </c>
      <c r="AG41" s="212">
        <f t="shared" si="34"/>
        <v>4</v>
      </c>
      <c r="AH41" s="212">
        <f t="shared" si="34"/>
        <v>5</v>
      </c>
      <c r="AI41" s="265">
        <f t="shared" si="34"/>
        <v>6</v>
      </c>
      <c r="AJ41" s="266">
        <f>AJ40+0.5</f>
        <v>3.5</v>
      </c>
      <c r="AK41" s="69"/>
      <c r="AL41" s="54">
        <f t="shared" si="10"/>
        <v>0</v>
      </c>
      <c r="AM41" s="183" t="str">
        <f>AM40</f>
        <v/>
      </c>
      <c r="AN41" s="54"/>
      <c r="AO41" s="267"/>
      <c r="AP41" s="242" t="str">
        <f t="shared" si="22"/>
        <v/>
      </c>
      <c r="AQ41" s="242" t="str">
        <f t="shared" ref="AQ41:AV41" si="35">IF(F41="",AP41,F41)</f>
        <v/>
      </c>
      <c r="AR41" s="242" t="str">
        <f t="shared" si="35"/>
        <v/>
      </c>
      <c r="AS41" s="242" t="str">
        <f t="shared" si="35"/>
        <v/>
      </c>
      <c r="AT41" s="242" t="str">
        <f t="shared" si="35"/>
        <v/>
      </c>
      <c r="AU41" s="242" t="str">
        <f t="shared" si="35"/>
        <v/>
      </c>
      <c r="AV41" s="242" t="str">
        <f t="shared" si="35"/>
        <v/>
      </c>
      <c r="AW41" s="268" t="str">
        <f t="shared" si="30"/>
        <v/>
      </c>
      <c r="AX41" s="269"/>
      <c r="AY41" s="270"/>
      <c r="AZ41" s="271"/>
      <c r="BA41" s="246"/>
      <c r="BB41" s="246"/>
      <c r="BC41" s="263"/>
      <c r="BD41" s="66"/>
      <c r="BE41" s="69"/>
      <c r="BF41" s="54"/>
      <c r="BG41" s="54"/>
      <c r="BH41" s="54"/>
      <c r="BI41" s="54"/>
      <c r="BK41" s="173"/>
      <c r="BM41" s="173"/>
      <c r="BN41" s="175"/>
      <c r="BO41" s="250" t="str">
        <f>IFERROR(__xludf.DUMMYFUNCTION("""COMPUTED_VALUE"""),"")</f>
        <v/>
      </c>
      <c r="BP41" s="250" t="str">
        <f t="shared" si="36"/>
        <v/>
      </c>
      <c r="BQ41" s="250" t="str">
        <f>IFERROR(__xludf.DUMMYFUNCTION("""COMPUTED_VALUE"""),"")</f>
        <v/>
      </c>
      <c r="BR41" s="250"/>
      <c r="BS41" s="250" t="str">
        <f t="shared" si="15"/>
        <v/>
      </c>
      <c r="BT41" s="250" t="str">
        <f t="shared" si="37"/>
        <v/>
      </c>
      <c r="BU41" s="253" t="str">
        <f t="shared" si="33"/>
        <v/>
      </c>
      <c r="BV41" s="254" t="b">
        <f t="shared" si="17"/>
        <v>0</v>
      </c>
      <c r="BW41" s="175" t="str">
        <f t="shared" si="38"/>
        <v/>
      </c>
      <c r="BX41" s="44" t="b">
        <f t="shared" si="19"/>
        <v>0</v>
      </c>
      <c r="BY41" s="202" t="b">
        <f t="shared" si="20"/>
        <v>0</v>
      </c>
      <c r="BZ41" s="203">
        <f t="shared" si="25"/>
        <v>0</v>
      </c>
      <c r="CA41" s="175">
        <f t="shared" si="26"/>
        <v>0</v>
      </c>
      <c r="CB41" s="175"/>
      <c r="CC41" s="173"/>
      <c r="CD41" s="173"/>
    </row>
    <row r="42">
      <c r="A42" s="11"/>
      <c r="B42" s="221" t="str">
        <f>IF(B40="","",B40+7)</f>
        <v/>
      </c>
      <c r="C42" s="222"/>
      <c r="D42" s="223" t="str">
        <f t="shared" si="27"/>
        <v>Weight</v>
      </c>
      <c r="E42" s="282"/>
      <c r="F42" s="274"/>
      <c r="G42" s="273"/>
      <c r="H42" s="274"/>
      <c r="I42" s="274"/>
      <c r="J42" s="274"/>
      <c r="K42" s="274"/>
      <c r="L42" s="226" t="str">
        <f t="shared" si="6"/>
        <v/>
      </c>
      <c r="M42" s="275"/>
      <c r="N42" s="228"/>
      <c r="O42" s="228"/>
      <c r="P42" s="228"/>
      <c r="Q42" s="276" t="str">
        <f>BL42</f>
        <v/>
      </c>
      <c r="R42" s="228"/>
      <c r="S42" s="230" t="str">
        <f>IFERROR(__xludf.DUMMYFUNCTION("IF(L42="""","""",(L42-index(filter($L$36:L40,$L$36:L40&lt;&gt;"""",ISEVEN(row($L$36:L40))),count(filter($L$36:L40,$L$36:L40&lt;&gt;"""",iseven(row($L$36:L40)))),1)))"),"")</f>
        <v/>
      </c>
      <c r="T42" s="231"/>
      <c r="U42" s="232" t="str">
        <f>if(BD$24=FALSE,"",IF(L42="","",BC42))</f>
        <v/>
      </c>
      <c r="V42" s="233"/>
      <c r="W42" s="234">
        <f>IF(count(S42:S43)&gt;1,1,0)</f>
        <v>0</v>
      </c>
      <c r="X42" s="235" t="str">
        <f>if(Y42="","","Week 4")</f>
        <v/>
      </c>
      <c r="Y42" s="236" t="str">
        <f>IF(S42="","",text(B42,"MMM-YY"))</f>
        <v/>
      </c>
      <c r="Z42" s="173"/>
      <c r="AA42" s="173"/>
      <c r="AC42" s="264" t="str">
        <f t="shared" si="8"/>
        <v/>
      </c>
      <c r="AD42" s="212">
        <f t="shared" ref="AD42:AI42" si="39">AC42+1</f>
        <v>1</v>
      </c>
      <c r="AE42" s="212">
        <f t="shared" si="39"/>
        <v>2</v>
      </c>
      <c r="AF42" s="212">
        <f t="shared" si="39"/>
        <v>3</v>
      </c>
      <c r="AG42" s="212">
        <f t="shared" si="39"/>
        <v>4</v>
      </c>
      <c r="AH42" s="212">
        <f t="shared" si="39"/>
        <v>5</v>
      </c>
      <c r="AI42" s="265">
        <f t="shared" si="39"/>
        <v>6</v>
      </c>
      <c r="AJ42" s="266">
        <f>AJ40+1</f>
        <v>4</v>
      </c>
      <c r="AK42" s="277">
        <v>3.0</v>
      </c>
      <c r="AL42" s="54">
        <f t="shared" si="10"/>
        <v>0</v>
      </c>
      <c r="AM42" s="198" t="str">
        <f>IF(K42="",AM40,K42)</f>
        <v/>
      </c>
      <c r="AN42" s="54"/>
      <c r="AO42" s="241"/>
      <c r="AP42" s="242" t="str">
        <f t="shared" si="22"/>
        <v/>
      </c>
      <c r="AQ42" s="242" t="str">
        <f t="shared" ref="AQ42:AV42" si="40">IF(F42="",AP42,F42)</f>
        <v/>
      </c>
      <c r="AR42" s="242" t="str">
        <f t="shared" si="40"/>
        <v/>
      </c>
      <c r="AS42" s="242" t="str">
        <f t="shared" si="40"/>
        <v/>
      </c>
      <c r="AT42" s="242" t="str">
        <f t="shared" si="40"/>
        <v/>
      </c>
      <c r="AU42" s="242" t="str">
        <f t="shared" si="40"/>
        <v/>
      </c>
      <c r="AV42" s="242" t="str">
        <f t="shared" si="40"/>
        <v/>
      </c>
      <c r="AW42" s="278" t="str">
        <f t="shared" si="30"/>
        <v/>
      </c>
      <c r="AX42" s="244">
        <f>if(AND(AW42=AX$34,$AL42&gt;0),ROW(),0)</f>
        <v>0</v>
      </c>
      <c r="AY42" s="244">
        <f>if(AND(AW42=AY$34,$AL42&gt;0),ROW(),0)</f>
        <v>0</v>
      </c>
      <c r="AZ42" s="279" t="str">
        <f>IF(AW42="","",AW42-AW40)</f>
        <v/>
      </c>
      <c r="BA42" s="246">
        <f>if(BB42&gt;0,row(),0)</f>
        <v>42</v>
      </c>
      <c r="BB42" s="246">
        <f>max(if(E42=AW$30,COLUMN(E42),0),if(F42=AW$30,COLUMN(F42),0),if(G42=AW$30,COLUMN(G42),0),if(H42=AW$30,COLUMN(H42),0),if(I42=AW$30,COLUMN(I42),0),if(J42=AW$30,COLUMN(J42),0),if(K42=AW$30,COLUMN(K42),0))</f>
        <v>11</v>
      </c>
      <c r="BC42" s="247" t="str">
        <f>IF(BD42="","",IF(AZ42="","",BD42))</f>
        <v/>
      </c>
      <c r="BD42" s="248">
        <f>IF(AL42=0,BD40,IF(AL43=0,BD40,((AW43+(((-AZ42)*$BD$7)/AL43)+sum($BE$38:BE40))/AK42)))</f>
        <v>0</v>
      </c>
      <c r="BE42" s="249">
        <f>IF(AL42=0,BE40,IF(AL43=0,BE40,AW43+(((-AZ42)*$BD$7)/AL43)))</f>
        <v>0</v>
      </c>
      <c r="BF42" s="54"/>
      <c r="BG42" s="54"/>
      <c r="BH42" s="54"/>
      <c r="BI42" s="54"/>
      <c r="BJ42" s="173" t="str">
        <f>text(B42,"YYYY MMM")</f>
        <v/>
      </c>
      <c r="BK42" s="173"/>
      <c r="BL42" s="174" t="str">
        <f>if($G$13="Disable","", if($G$9="","",if(and($G$9="Male",count($N42:$O42)&lt;&gt;2),"",
if(and($G$9="Male",count($N42:$O42)=2),round(if($N42="","",
     if($G$14="cm",86.01*log($N42-$O42)-70.041*log($G$15)+30.3,
     if($G$14="inch",86.01*log(($N42-$O42)*2.54)-70.041*log($G$15*2.54)+30.3))),0),                                         
if(and($G$9="Female",count($N42:$P42)&lt;&gt;3),"",
if(and($G$9="Female",count($N42:$P42)=3),round(if($N42="","",
        if($G$14="cm",495/(1.29579-0.35004*log10($N42+$P42-$O42)+0.221 * log10($G$15))-450,
        if($G$14="inch",495/(1.29579-0.35004*log10(($N42+$P42-$O42)*2.54)+0.221 * log10($G$15*2.54))-450))),0)))))))</f>
        <v/>
      </c>
      <c r="BM42" s="173"/>
      <c r="BN42" s="175"/>
      <c r="BO42" s="250" t="str">
        <f>IFERROR(__xludf.DUMMYFUNCTION("""COMPUTED_VALUE"""),"")</f>
        <v/>
      </c>
      <c r="BP42" s="250" t="str">
        <f t="shared" si="36"/>
        <v/>
      </c>
      <c r="BQ42" s="250" t="str">
        <f>IFERROR(__xludf.DUMMYFUNCTION("""COMPUTED_VALUE"""),"")</f>
        <v/>
      </c>
      <c r="BR42" s="250"/>
      <c r="BS42" s="250" t="str">
        <f t="shared" si="15"/>
        <v/>
      </c>
      <c r="BT42" s="250" t="str">
        <f t="shared" si="37"/>
        <v/>
      </c>
      <c r="BU42" s="253" t="str">
        <f t="shared" si="33"/>
        <v/>
      </c>
      <c r="BV42" s="254" t="b">
        <f t="shared" si="17"/>
        <v>0</v>
      </c>
      <c r="BW42" s="175" t="str">
        <f t="shared" si="38"/>
        <v/>
      </c>
      <c r="BX42" s="44" t="b">
        <f t="shared" si="19"/>
        <v>0</v>
      </c>
      <c r="BY42" s="202" t="b">
        <f t="shared" si="20"/>
        <v>0</v>
      </c>
      <c r="BZ42" s="203">
        <f t="shared" si="25"/>
        <v>0</v>
      </c>
      <c r="CA42" s="175">
        <f t="shared" si="26"/>
        <v>0</v>
      </c>
      <c r="CB42" s="175"/>
      <c r="CC42" s="173"/>
      <c r="CD42" s="173"/>
    </row>
    <row r="43" ht="15.75" customHeight="1">
      <c r="A43" s="11"/>
      <c r="B43" s="255"/>
      <c r="C43" s="256"/>
      <c r="D43" s="257" t="str">
        <f t="shared" si="27"/>
        <v>Calories</v>
      </c>
      <c r="E43" s="258"/>
      <c r="F43" s="258"/>
      <c r="G43" s="258"/>
      <c r="H43" s="259"/>
      <c r="I43" s="259"/>
      <c r="J43" s="259"/>
      <c r="K43" s="259"/>
      <c r="L43" s="260" t="str">
        <f t="shared" si="6"/>
        <v/>
      </c>
      <c r="M43" s="281"/>
      <c r="N43" s="255"/>
      <c r="O43" s="255"/>
      <c r="P43" s="255"/>
      <c r="Q43" s="255"/>
      <c r="R43" s="255"/>
      <c r="S43" s="255"/>
      <c r="T43" s="231"/>
      <c r="U43" s="255"/>
      <c r="V43" s="233"/>
      <c r="W43" s="262"/>
      <c r="X43" s="262"/>
      <c r="Y43" s="263"/>
      <c r="Z43" s="173"/>
      <c r="AA43" s="173"/>
      <c r="AC43" s="264" t="str">
        <f t="shared" si="8"/>
        <v/>
      </c>
      <c r="AD43" s="212">
        <f t="shared" ref="AD43:AI43" si="41">AC43+1</f>
        <v>1</v>
      </c>
      <c r="AE43" s="212">
        <f t="shared" si="41"/>
        <v>2</v>
      </c>
      <c r="AF43" s="212">
        <f t="shared" si="41"/>
        <v>3</v>
      </c>
      <c r="AG43" s="212">
        <f t="shared" si="41"/>
        <v>4</v>
      </c>
      <c r="AH43" s="212">
        <f t="shared" si="41"/>
        <v>5</v>
      </c>
      <c r="AI43" s="265">
        <f t="shared" si="41"/>
        <v>6</v>
      </c>
      <c r="AJ43" s="266">
        <f>AJ42+0.5</f>
        <v>4.5</v>
      </c>
      <c r="AK43" s="69"/>
      <c r="AL43" s="54">
        <f t="shared" si="10"/>
        <v>0</v>
      </c>
      <c r="AM43" s="183" t="str">
        <f>AM42</f>
        <v/>
      </c>
      <c r="AN43" s="54"/>
      <c r="AO43" s="267"/>
      <c r="AP43" s="242" t="str">
        <f t="shared" si="22"/>
        <v/>
      </c>
      <c r="AQ43" s="242" t="str">
        <f t="shared" ref="AQ43:AV43" si="42">IF(F43="",AP43,F43)</f>
        <v/>
      </c>
      <c r="AR43" s="242" t="str">
        <f t="shared" si="42"/>
        <v/>
      </c>
      <c r="AS43" s="242" t="str">
        <f t="shared" si="42"/>
        <v/>
      </c>
      <c r="AT43" s="242" t="str">
        <f t="shared" si="42"/>
        <v/>
      </c>
      <c r="AU43" s="242" t="str">
        <f t="shared" si="42"/>
        <v/>
      </c>
      <c r="AV43" s="242" t="str">
        <f t="shared" si="42"/>
        <v/>
      </c>
      <c r="AW43" s="268" t="str">
        <f t="shared" si="30"/>
        <v/>
      </c>
      <c r="AX43" s="269"/>
      <c r="AY43" s="270"/>
      <c r="AZ43" s="271"/>
      <c r="BA43" s="246"/>
      <c r="BB43" s="246"/>
      <c r="BC43" s="263"/>
      <c r="BD43" s="66"/>
      <c r="BE43" s="69"/>
      <c r="BF43" s="54"/>
      <c r="BG43" s="54"/>
      <c r="BH43" s="54"/>
      <c r="BI43" s="54"/>
      <c r="BK43" s="173"/>
      <c r="BM43" s="173"/>
      <c r="BN43" s="175"/>
      <c r="BO43" s="250" t="str">
        <f>IFERROR(__xludf.DUMMYFUNCTION("""COMPUTED_VALUE"""),"")</f>
        <v/>
      </c>
      <c r="BP43" s="250" t="str">
        <f t="shared" si="36"/>
        <v/>
      </c>
      <c r="BQ43" s="250" t="str">
        <f>IFERROR(__xludf.DUMMYFUNCTION("""COMPUTED_VALUE"""),"")</f>
        <v/>
      </c>
      <c r="BR43" s="250"/>
      <c r="BS43" s="250" t="str">
        <f t="shared" si="15"/>
        <v/>
      </c>
      <c r="BT43" s="250" t="str">
        <f t="shared" si="37"/>
        <v/>
      </c>
      <c r="BU43" s="253" t="str">
        <f t="shared" si="33"/>
        <v/>
      </c>
      <c r="BV43" s="254" t="b">
        <f t="shared" si="17"/>
        <v>0</v>
      </c>
      <c r="BW43" s="175" t="str">
        <f t="shared" si="38"/>
        <v/>
      </c>
      <c r="BX43" s="44" t="b">
        <f t="shared" si="19"/>
        <v>0</v>
      </c>
      <c r="BY43" s="202" t="b">
        <f t="shared" si="20"/>
        <v>0</v>
      </c>
      <c r="BZ43" s="203">
        <f t="shared" si="25"/>
        <v>0</v>
      </c>
      <c r="CA43" s="175">
        <f t="shared" si="26"/>
        <v>0</v>
      </c>
      <c r="CB43" s="175"/>
      <c r="CC43" s="173"/>
      <c r="CD43" s="173"/>
    </row>
    <row r="44" ht="15.75" customHeight="1">
      <c r="A44" s="11"/>
      <c r="B44" s="221" t="str">
        <f>IF(B42="","",B42+7)</f>
        <v/>
      </c>
      <c r="C44" s="222"/>
      <c r="D44" s="223" t="str">
        <f t="shared" si="27"/>
        <v>Weight</v>
      </c>
      <c r="E44" s="282"/>
      <c r="F44" s="274"/>
      <c r="G44" s="273"/>
      <c r="H44" s="274"/>
      <c r="I44" s="274"/>
      <c r="J44" s="274"/>
      <c r="K44" s="274"/>
      <c r="L44" s="283" t="str">
        <f t="shared" si="6"/>
        <v/>
      </c>
      <c r="M44" s="227"/>
      <c r="N44" s="228"/>
      <c r="O44" s="228"/>
      <c r="P44" s="228"/>
      <c r="Q44" s="276" t="str">
        <f>BL44</f>
        <v/>
      </c>
      <c r="R44" s="228"/>
      <c r="S44" s="230" t="str">
        <f>IFERROR(__xludf.DUMMYFUNCTION("IF(L44="""","""",(L44-index(filter($L$36:L42,$L$36:L42&lt;&gt;"""",ISEVEN(row($L$36:L42))),count(filter($L$36:L42,$L$36:L42&lt;&gt;"""",iseven(row($L$36:L42)))),1)))"),"")</f>
        <v/>
      </c>
      <c r="T44" s="231"/>
      <c r="U44" s="232" t="str">
        <f>if(BD$24=FALSE,"",IF(L44="","",BC44))</f>
        <v/>
      </c>
      <c r="V44" s="233"/>
      <c r="W44" s="234">
        <f>IF(count(S44:S45)&gt;1,1,0)</f>
        <v>0</v>
      </c>
      <c r="X44" s="235" t="str">
        <f>if(Y44="","","Week 5")</f>
        <v/>
      </c>
      <c r="Y44" s="236" t="str">
        <f>IF(S44="","",text(B44,"MMM-YY"))</f>
        <v/>
      </c>
      <c r="Z44" s="173"/>
      <c r="AA44" s="173"/>
      <c r="AC44" s="264" t="str">
        <f t="shared" si="8"/>
        <v/>
      </c>
      <c r="AD44" s="212">
        <f t="shared" ref="AD44:AI44" si="43">AC44+1</f>
        <v>1</v>
      </c>
      <c r="AE44" s="212">
        <f t="shared" si="43"/>
        <v>2</v>
      </c>
      <c r="AF44" s="212">
        <f t="shared" si="43"/>
        <v>3</v>
      </c>
      <c r="AG44" s="212">
        <f t="shared" si="43"/>
        <v>4</v>
      </c>
      <c r="AH44" s="212">
        <f t="shared" si="43"/>
        <v>5</v>
      </c>
      <c r="AI44" s="265">
        <f t="shared" si="43"/>
        <v>6</v>
      </c>
      <c r="AJ44" s="266">
        <f>AJ42+1</f>
        <v>5</v>
      </c>
      <c r="AK44" s="277">
        <v>4.0</v>
      </c>
      <c r="AL44" s="54">
        <f t="shared" si="10"/>
        <v>0</v>
      </c>
      <c r="AM44" s="198" t="str">
        <f>IF(K44="",AM42,K44)</f>
        <v/>
      </c>
      <c r="AN44" s="54"/>
      <c r="AO44" s="241"/>
      <c r="AP44" s="242" t="str">
        <f t="shared" si="22"/>
        <v/>
      </c>
      <c r="AQ44" s="242" t="str">
        <f t="shared" ref="AQ44:AV44" si="44">IF(F44="",AP44,F44)</f>
        <v/>
      </c>
      <c r="AR44" s="242" t="str">
        <f t="shared" si="44"/>
        <v/>
      </c>
      <c r="AS44" s="242" t="str">
        <f t="shared" si="44"/>
        <v/>
      </c>
      <c r="AT44" s="242" t="str">
        <f t="shared" si="44"/>
        <v/>
      </c>
      <c r="AU44" s="242" t="str">
        <f t="shared" si="44"/>
        <v/>
      </c>
      <c r="AV44" s="242" t="str">
        <f t="shared" si="44"/>
        <v/>
      </c>
      <c r="AW44" s="278" t="str">
        <f t="shared" si="30"/>
        <v/>
      </c>
      <c r="AX44" s="244">
        <f>if(AND(AW44=AX$34,$AL44&gt;0),ROW(),0)</f>
        <v>0</v>
      </c>
      <c r="AY44" s="244">
        <f>if(AND(AW44=AY$34,$AL44&gt;0),ROW(),0)</f>
        <v>0</v>
      </c>
      <c r="AZ44" s="279" t="str">
        <f>IF(AW44="","",AW44-AW42)</f>
        <v/>
      </c>
      <c r="BA44" s="246">
        <f>if(BB44&gt;0,row(),0)</f>
        <v>44</v>
      </c>
      <c r="BB44" s="246">
        <f>max(if(E44=AW$30,COLUMN(E44),0),if(F44=AW$30,COLUMN(F44),0),if(G44=AW$30,COLUMN(G44),0),if(H44=AW$30,COLUMN(H44),0),if(I44=AW$30,COLUMN(I44),0),if(J44=AW$30,COLUMN(J44),0),if(K44=AW$30,COLUMN(K44),0))</f>
        <v>11</v>
      </c>
      <c r="BC44" s="247" t="str">
        <f>IF(BD44="","",IF(AZ44="","",BD44))</f>
        <v/>
      </c>
      <c r="BD44" s="248">
        <f>IF(AL44=0,BD42,IF(AL45=0,BD42,((AW45+(((-AZ44)*$BD$7)/AL45)+sum($BE$38:BE42))/AK44)))</f>
        <v>0</v>
      </c>
      <c r="BE44" s="249">
        <f>IF(AL44=0,BE42,IF(AL45=0,BE42,AW45+(((-AZ44)*$BD$7)/AL45)))</f>
        <v>0</v>
      </c>
      <c r="BF44" s="54"/>
      <c r="BG44" s="54"/>
      <c r="BH44" s="54"/>
      <c r="BI44" s="54"/>
      <c r="BJ44" s="173" t="str">
        <f>text(B44,"YYYY MMM")</f>
        <v/>
      </c>
      <c r="BK44" s="173"/>
      <c r="BL44" s="174" t="str">
        <f>if($G$13="Disable","", if($G$9="","",if(and($G$9="Male",count($N44:$O44)&lt;&gt;2),"",
if(and($G$9="Male",count($N44:$O44)=2),round(if($N44="","",
     if($G$14="cm",86.01*log($N44-$O44)-70.041*log($G$15)+30.3,
     if($G$14="inch",86.01*log(($N44-$O44)*2.54)-70.041*log($G$15*2.54)+30.3))),0),                                         
if(and($G$9="Female",count($N44:$P44)&lt;&gt;3),"",
if(and($G$9="Female",count($N44:$P44)=3),round(if($N44="","",
        if($G$14="cm",495/(1.29579-0.35004*log10($N44+$P44-$O44)+0.221 * log10($G$15))-450,
        if($G$14="inch",495/(1.29579-0.35004*log10(($N44+$P44-$O44)*2.54)+0.221 * log10($G$15*2.54))-450))),0)))))))</f>
        <v/>
      </c>
      <c r="BM44" s="173"/>
      <c r="BN44" s="175"/>
      <c r="BO44" s="250" t="str">
        <f>IFERROR(__xludf.DUMMYFUNCTION("""COMPUTED_VALUE"""),"")</f>
        <v/>
      </c>
      <c r="BP44" s="250" t="str">
        <f t="shared" si="36"/>
        <v/>
      </c>
      <c r="BQ44" s="250" t="str">
        <f>IFERROR(__xludf.DUMMYFUNCTION("""COMPUTED_VALUE"""),"")</f>
        <v/>
      </c>
      <c r="BR44" s="250"/>
      <c r="BS44" s="250" t="str">
        <f t="shared" si="15"/>
        <v/>
      </c>
      <c r="BT44" s="250" t="str">
        <f t="shared" si="37"/>
        <v/>
      </c>
      <c r="BU44" s="253" t="str">
        <f t="shared" si="33"/>
        <v/>
      </c>
      <c r="BV44" s="254" t="b">
        <f t="shared" si="17"/>
        <v>0</v>
      </c>
      <c r="BW44" s="175" t="str">
        <f t="shared" si="38"/>
        <v/>
      </c>
      <c r="BX44" s="44" t="b">
        <f t="shared" si="19"/>
        <v>0</v>
      </c>
      <c r="BY44" s="202" t="b">
        <f t="shared" si="20"/>
        <v>0</v>
      </c>
      <c r="BZ44" s="203">
        <f t="shared" si="25"/>
        <v>0</v>
      </c>
      <c r="CA44" s="175">
        <f t="shared" si="26"/>
        <v>0</v>
      </c>
      <c r="CB44" s="175"/>
      <c r="CC44" s="173"/>
      <c r="CD44" s="173"/>
    </row>
    <row r="45" ht="15.75" customHeight="1">
      <c r="A45" s="11"/>
      <c r="B45" s="255"/>
      <c r="C45" s="256"/>
      <c r="D45" s="257" t="str">
        <f t="shared" si="27"/>
        <v>Calories</v>
      </c>
      <c r="E45" s="258"/>
      <c r="F45" s="258"/>
      <c r="G45" s="258"/>
      <c r="H45" s="259"/>
      <c r="I45" s="259"/>
      <c r="J45" s="259"/>
      <c r="K45" s="259"/>
      <c r="L45" s="260" t="str">
        <f t="shared" si="6"/>
        <v/>
      </c>
      <c r="M45" s="261"/>
      <c r="N45" s="255"/>
      <c r="O45" s="255"/>
      <c r="P45" s="255"/>
      <c r="Q45" s="255"/>
      <c r="R45" s="255"/>
      <c r="S45" s="255"/>
      <c r="T45" s="231"/>
      <c r="U45" s="255"/>
      <c r="V45" s="233"/>
      <c r="W45" s="262"/>
      <c r="X45" s="262"/>
      <c r="Y45" s="263"/>
      <c r="Z45" s="173"/>
      <c r="AA45" s="173"/>
      <c r="AC45" s="264" t="str">
        <f t="shared" si="8"/>
        <v/>
      </c>
      <c r="AD45" s="212">
        <f t="shared" ref="AD45:AI45" si="45">AC45+1</f>
        <v>1</v>
      </c>
      <c r="AE45" s="212">
        <f t="shared" si="45"/>
        <v>2</v>
      </c>
      <c r="AF45" s="212">
        <f t="shared" si="45"/>
        <v>3</v>
      </c>
      <c r="AG45" s="212">
        <f t="shared" si="45"/>
        <v>4</v>
      </c>
      <c r="AH45" s="212">
        <f t="shared" si="45"/>
        <v>5</v>
      </c>
      <c r="AI45" s="265">
        <f t="shared" si="45"/>
        <v>6</v>
      </c>
      <c r="AJ45" s="266">
        <f>AJ44+0.5</f>
        <v>5.5</v>
      </c>
      <c r="AK45" s="69"/>
      <c r="AL45" s="54">
        <f t="shared" si="10"/>
        <v>0</v>
      </c>
      <c r="AM45" s="183" t="str">
        <f>AM44</f>
        <v/>
      </c>
      <c r="AN45" s="54"/>
      <c r="AO45" s="267"/>
      <c r="AP45" s="242" t="str">
        <f t="shared" si="22"/>
        <v/>
      </c>
      <c r="AQ45" s="242" t="str">
        <f t="shared" ref="AQ45:AV45" si="46">IF(F45="",AP45,F45)</f>
        <v/>
      </c>
      <c r="AR45" s="242" t="str">
        <f t="shared" si="46"/>
        <v/>
      </c>
      <c r="AS45" s="242" t="str">
        <f t="shared" si="46"/>
        <v/>
      </c>
      <c r="AT45" s="242" t="str">
        <f t="shared" si="46"/>
        <v/>
      </c>
      <c r="AU45" s="242" t="str">
        <f t="shared" si="46"/>
        <v/>
      </c>
      <c r="AV45" s="242" t="str">
        <f t="shared" si="46"/>
        <v/>
      </c>
      <c r="AW45" s="268" t="str">
        <f t="shared" si="30"/>
        <v/>
      </c>
      <c r="AX45" s="269"/>
      <c r="AY45" s="270"/>
      <c r="AZ45" s="271"/>
      <c r="BA45" s="246"/>
      <c r="BB45" s="246"/>
      <c r="BC45" s="263"/>
      <c r="BD45" s="66"/>
      <c r="BE45" s="69"/>
      <c r="BF45" s="54"/>
      <c r="BG45" s="54"/>
      <c r="BH45" s="54"/>
      <c r="BI45" s="54"/>
      <c r="BK45" s="173"/>
      <c r="BM45" s="173"/>
      <c r="BN45" s="175"/>
      <c r="BO45" s="250" t="str">
        <f>IFERROR(__xludf.DUMMYFUNCTION("""COMPUTED_VALUE"""),"")</f>
        <v/>
      </c>
      <c r="BP45" s="250" t="str">
        <f t="shared" si="36"/>
        <v/>
      </c>
      <c r="BQ45" s="250" t="str">
        <f>IFERROR(__xludf.DUMMYFUNCTION("""COMPUTED_VALUE"""),"")</f>
        <v/>
      </c>
      <c r="BR45" s="250"/>
      <c r="BS45" s="250" t="str">
        <f t="shared" si="15"/>
        <v/>
      </c>
      <c r="BT45" s="250" t="str">
        <f t="shared" si="37"/>
        <v/>
      </c>
      <c r="BU45" s="253" t="str">
        <f t="shared" si="33"/>
        <v/>
      </c>
      <c r="BV45" s="254" t="b">
        <f t="shared" si="17"/>
        <v>0</v>
      </c>
      <c r="BW45" s="175" t="str">
        <f t="shared" si="38"/>
        <v/>
      </c>
      <c r="BX45" s="44" t="b">
        <f t="shared" si="19"/>
        <v>0</v>
      </c>
      <c r="BY45" s="202" t="b">
        <f t="shared" si="20"/>
        <v>0</v>
      </c>
      <c r="BZ45" s="203">
        <f t="shared" si="25"/>
        <v>0</v>
      </c>
      <c r="CA45" s="175">
        <f t="shared" si="26"/>
        <v>0</v>
      </c>
      <c r="CB45" s="175"/>
      <c r="CC45" s="173"/>
      <c r="CD45" s="173"/>
    </row>
    <row r="46" ht="15.75" customHeight="1">
      <c r="A46" s="11"/>
      <c r="B46" s="221" t="str">
        <f>IF(B44="","",B44+7)</f>
        <v/>
      </c>
      <c r="C46" s="222"/>
      <c r="D46" s="223" t="str">
        <f t="shared" si="27"/>
        <v>Weight</v>
      </c>
      <c r="E46" s="282"/>
      <c r="F46" s="274"/>
      <c r="G46" s="273"/>
      <c r="H46" s="274"/>
      <c r="I46" s="274"/>
      <c r="J46" s="274"/>
      <c r="K46" s="274"/>
      <c r="L46" s="284" t="str">
        <f t="shared" si="6"/>
        <v/>
      </c>
      <c r="M46" s="227"/>
      <c r="N46" s="228"/>
      <c r="O46" s="228"/>
      <c r="P46" s="228"/>
      <c r="Q46" s="276" t="str">
        <f>BL46</f>
        <v/>
      </c>
      <c r="R46" s="228"/>
      <c r="S46" s="230" t="str">
        <f>IFERROR(__xludf.DUMMYFUNCTION("IF(L46="""","""",(L46-index(filter($L$36:L44,$L$36:L44&lt;&gt;"""",ISEVEN(row($L$36:L44))),count(filter($L$36:L44,$L$36:L44&lt;&gt;"""",iseven(row($L$36:L44)))),1)))"),"")</f>
        <v/>
      </c>
      <c r="T46" s="231"/>
      <c r="U46" s="232" t="str">
        <f>if(BD$24=FALSE,"",IF(L46="","",BC46))</f>
        <v/>
      </c>
      <c r="V46" s="233"/>
      <c r="W46" s="234">
        <f>IF(count(S46:S47)&gt;1,1,0)</f>
        <v>0</v>
      </c>
      <c r="X46" s="235" t="str">
        <f>if(Y46="","","Week 6")</f>
        <v/>
      </c>
      <c r="Y46" s="236" t="str">
        <f>IF(S46="","",text(B46,"MMM-YY"))</f>
        <v/>
      </c>
      <c r="Z46" s="173"/>
      <c r="AA46" s="173"/>
      <c r="AC46" s="264" t="str">
        <f t="shared" si="8"/>
        <v/>
      </c>
      <c r="AD46" s="212">
        <f t="shared" ref="AD46:AI46" si="47">AC46+1</f>
        <v>1</v>
      </c>
      <c r="AE46" s="212">
        <f t="shared" si="47"/>
        <v>2</v>
      </c>
      <c r="AF46" s="212">
        <f t="shared" si="47"/>
        <v>3</v>
      </c>
      <c r="AG46" s="212">
        <f t="shared" si="47"/>
        <v>4</v>
      </c>
      <c r="AH46" s="212">
        <f t="shared" si="47"/>
        <v>5</v>
      </c>
      <c r="AI46" s="265">
        <f t="shared" si="47"/>
        <v>6</v>
      </c>
      <c r="AJ46" s="266">
        <f>AJ44+1</f>
        <v>6</v>
      </c>
      <c r="AK46" s="277">
        <v>5.0</v>
      </c>
      <c r="AL46" s="54">
        <f t="shared" si="10"/>
        <v>0</v>
      </c>
      <c r="AM46" s="198" t="str">
        <f>IF(K46="",AM44,K46)</f>
        <v/>
      </c>
      <c r="AN46" s="54"/>
      <c r="AO46" s="241"/>
      <c r="AP46" s="242" t="str">
        <f t="shared" si="22"/>
        <v/>
      </c>
      <c r="AQ46" s="242" t="str">
        <f t="shared" ref="AQ46:AV46" si="48">IF(F46="",AP46,F46)</f>
        <v/>
      </c>
      <c r="AR46" s="242" t="str">
        <f t="shared" si="48"/>
        <v/>
      </c>
      <c r="AS46" s="242" t="str">
        <f t="shared" si="48"/>
        <v/>
      </c>
      <c r="AT46" s="242" t="str">
        <f t="shared" si="48"/>
        <v/>
      </c>
      <c r="AU46" s="242" t="str">
        <f t="shared" si="48"/>
        <v/>
      </c>
      <c r="AV46" s="242" t="str">
        <f t="shared" si="48"/>
        <v/>
      </c>
      <c r="AW46" s="278" t="str">
        <f t="shared" si="30"/>
        <v/>
      </c>
      <c r="AX46" s="244">
        <f>if(AND(AW46=AX$34,$AL46&gt;0),ROW(),0)</f>
        <v>0</v>
      </c>
      <c r="AY46" s="244">
        <f>if(AND(AW46=AY$34,$AL46&gt;0),ROW(),0)</f>
        <v>0</v>
      </c>
      <c r="AZ46" s="279" t="str">
        <f>IF(AW46="","",AW46-AW44)</f>
        <v/>
      </c>
      <c r="BA46" s="246">
        <f>if(BB46&gt;0,row(),0)</f>
        <v>46</v>
      </c>
      <c r="BB46" s="246">
        <f>max(if(E46=AW$30,COLUMN(E46),0),if(F46=AW$30,COLUMN(F46),0),if(G46=AW$30,COLUMN(G46),0),if(H46=AW$30,COLUMN(H46),0),if(I46=AW$30,COLUMN(I46),0),if(J46=AW$30,COLUMN(J46),0),if(K46=AW$30,COLUMN(K46),0))</f>
        <v>11</v>
      </c>
      <c r="BC46" s="247" t="str">
        <f>IF(BD46="","",IF(AZ46="","",BD46))</f>
        <v/>
      </c>
      <c r="BD46" s="248">
        <f>IF(AL46=0,BD44,IF(AL47=0,BD44,((AW47+(((-AZ46)*$BD$7)/AL47)+sum($BE$38:BE44))/AK46)))</f>
        <v>0</v>
      </c>
      <c r="BE46" s="249">
        <f>IF(AL46=0,BE44,IF(AL47=0,BE44,AW47+(((-AZ46)*$BD$7)/AL47)))</f>
        <v>0</v>
      </c>
      <c r="BF46" s="54"/>
      <c r="BG46" s="54"/>
      <c r="BH46" s="54"/>
      <c r="BI46" s="54"/>
      <c r="BJ46" s="173" t="str">
        <f>text(B46,"YYYY MMM")</f>
        <v/>
      </c>
      <c r="BK46" s="173"/>
      <c r="BL46" s="174" t="str">
        <f>if($G$13="Disable","", if($G$9="","",if(and($G$9="Male",count($N46:$O46)&lt;&gt;2),"",
if(and($G$9="Male",count($N46:$O46)=2),round(if($N46="","",
     if($G$14="cm",86.01*log($N46-$O46)-70.041*log($G$15)+30.3,
     if($G$14="inch",86.01*log(($N46-$O46)*2.54)-70.041*log($G$15*2.54)+30.3))),0),                                         
if(and($G$9="Female",count($N46:$P46)&lt;&gt;3),"",
if(and($G$9="Female",count($N46:$P46)=3),round(if($N46="","",
        if($G$14="cm",495/(1.29579-0.35004*log10($N46+$P46-$O46)+0.221 * log10($G$15))-450,
        if($G$14="inch",495/(1.29579-0.35004*log10(($N46+$P46-$O46)*2.54)+0.221 * log10($G$15*2.54))-450))),0)))))))</f>
        <v/>
      </c>
      <c r="BM46" s="173"/>
      <c r="BN46" s="175"/>
      <c r="BO46" s="250" t="str">
        <f>IFERROR(__xludf.DUMMYFUNCTION("""COMPUTED_VALUE"""),"")</f>
        <v/>
      </c>
      <c r="BP46" s="250" t="str">
        <f t="shared" si="36"/>
        <v/>
      </c>
      <c r="BQ46" s="250" t="str">
        <f>IFERROR(__xludf.DUMMYFUNCTION("""COMPUTED_VALUE"""),"")</f>
        <v/>
      </c>
      <c r="BR46" s="250"/>
      <c r="BS46" s="250" t="str">
        <f t="shared" si="15"/>
        <v/>
      </c>
      <c r="BT46" s="250" t="str">
        <f t="shared" si="37"/>
        <v/>
      </c>
      <c r="BU46" s="253" t="str">
        <f t="shared" si="33"/>
        <v/>
      </c>
      <c r="BV46" s="254" t="b">
        <f t="shared" si="17"/>
        <v>0</v>
      </c>
      <c r="BW46" s="175" t="str">
        <f t="shared" si="38"/>
        <v/>
      </c>
      <c r="BX46" s="44" t="b">
        <f t="shared" si="19"/>
        <v>0</v>
      </c>
      <c r="BY46" s="202" t="b">
        <f t="shared" si="20"/>
        <v>0</v>
      </c>
      <c r="BZ46" s="203">
        <f t="shared" si="25"/>
        <v>0</v>
      </c>
      <c r="CA46" s="175">
        <f t="shared" si="26"/>
        <v>0</v>
      </c>
      <c r="CB46" s="175"/>
      <c r="CC46" s="173"/>
      <c r="CD46" s="173"/>
    </row>
    <row r="47">
      <c r="A47" s="11"/>
      <c r="B47" s="255"/>
      <c r="C47" s="256"/>
      <c r="D47" s="257" t="str">
        <f t="shared" si="27"/>
        <v>Calories</v>
      </c>
      <c r="E47" s="258"/>
      <c r="F47" s="258"/>
      <c r="G47" s="258"/>
      <c r="H47" s="259"/>
      <c r="I47" s="259"/>
      <c r="J47" s="259"/>
      <c r="K47" s="259"/>
      <c r="L47" s="260" t="str">
        <f t="shared" si="6"/>
        <v/>
      </c>
      <c r="M47" s="261"/>
      <c r="N47" s="255"/>
      <c r="O47" s="255"/>
      <c r="P47" s="255"/>
      <c r="Q47" s="255"/>
      <c r="R47" s="255"/>
      <c r="S47" s="255"/>
      <c r="T47" s="231"/>
      <c r="U47" s="255"/>
      <c r="V47" s="233"/>
      <c r="W47" s="262"/>
      <c r="X47" s="262"/>
      <c r="Y47" s="263"/>
      <c r="Z47" s="173"/>
      <c r="AA47" s="173"/>
      <c r="AC47" s="264" t="str">
        <f t="shared" si="8"/>
        <v/>
      </c>
      <c r="AD47" s="212">
        <f t="shared" ref="AD47:AI47" si="49">AC47+1</f>
        <v>1</v>
      </c>
      <c r="AE47" s="212">
        <f t="shared" si="49"/>
        <v>2</v>
      </c>
      <c r="AF47" s="212">
        <f t="shared" si="49"/>
        <v>3</v>
      </c>
      <c r="AG47" s="212">
        <f t="shared" si="49"/>
        <v>4</v>
      </c>
      <c r="AH47" s="212">
        <f t="shared" si="49"/>
        <v>5</v>
      </c>
      <c r="AI47" s="265">
        <f t="shared" si="49"/>
        <v>6</v>
      </c>
      <c r="AJ47" s="266">
        <f>AJ46+0.5</f>
        <v>6.5</v>
      </c>
      <c r="AK47" s="69"/>
      <c r="AL47" s="54">
        <f t="shared" si="10"/>
        <v>0</v>
      </c>
      <c r="AM47" s="183" t="str">
        <f>AM46</f>
        <v/>
      </c>
      <c r="AN47" s="54"/>
      <c r="AO47" s="267"/>
      <c r="AP47" s="242" t="str">
        <f t="shared" si="22"/>
        <v/>
      </c>
      <c r="AQ47" s="242" t="str">
        <f t="shared" ref="AQ47:AV47" si="50">IF(F47="",AP47,F47)</f>
        <v/>
      </c>
      <c r="AR47" s="242" t="str">
        <f t="shared" si="50"/>
        <v/>
      </c>
      <c r="AS47" s="242" t="str">
        <f t="shared" si="50"/>
        <v/>
      </c>
      <c r="AT47" s="242" t="str">
        <f t="shared" si="50"/>
        <v/>
      </c>
      <c r="AU47" s="242" t="str">
        <f t="shared" si="50"/>
        <v/>
      </c>
      <c r="AV47" s="242" t="str">
        <f t="shared" si="50"/>
        <v/>
      </c>
      <c r="AW47" s="268" t="str">
        <f t="shared" si="30"/>
        <v/>
      </c>
      <c r="AX47" s="269"/>
      <c r="AY47" s="270"/>
      <c r="AZ47" s="271"/>
      <c r="BA47" s="246"/>
      <c r="BB47" s="246"/>
      <c r="BC47" s="263"/>
      <c r="BD47" s="66"/>
      <c r="BE47" s="69"/>
      <c r="BF47" s="54"/>
      <c r="BG47" s="54"/>
      <c r="BH47" s="54"/>
      <c r="BI47" s="54"/>
      <c r="BK47" s="173"/>
      <c r="BM47" s="173"/>
      <c r="BN47" s="175"/>
      <c r="BO47" s="250" t="str">
        <f>IFERROR(__xludf.DUMMYFUNCTION("""COMPUTED_VALUE"""),"")</f>
        <v/>
      </c>
      <c r="BP47" s="250" t="str">
        <f t="shared" si="36"/>
        <v/>
      </c>
      <c r="BQ47" s="250" t="str">
        <f>IFERROR(__xludf.DUMMYFUNCTION("""COMPUTED_VALUE"""),"")</f>
        <v/>
      </c>
      <c r="BR47" s="250"/>
      <c r="BS47" s="250" t="str">
        <f t="shared" si="15"/>
        <v/>
      </c>
      <c r="BT47" s="250" t="str">
        <f t="shared" si="37"/>
        <v/>
      </c>
      <c r="BU47" s="253" t="str">
        <f t="shared" si="33"/>
        <v/>
      </c>
      <c r="BV47" s="254" t="b">
        <f t="shared" si="17"/>
        <v>0</v>
      </c>
      <c r="BW47" s="175" t="str">
        <f t="shared" si="38"/>
        <v/>
      </c>
      <c r="BX47" s="44" t="b">
        <f t="shared" si="19"/>
        <v>0</v>
      </c>
      <c r="BY47" s="202" t="b">
        <f t="shared" si="20"/>
        <v>0</v>
      </c>
      <c r="BZ47" s="203">
        <f t="shared" si="25"/>
        <v>0</v>
      </c>
      <c r="CA47" s="175">
        <f t="shared" si="26"/>
        <v>0</v>
      </c>
      <c r="CB47" s="175"/>
      <c r="CC47" s="173"/>
      <c r="CD47" s="173"/>
    </row>
    <row r="48">
      <c r="A48" s="11"/>
      <c r="B48" s="221" t="str">
        <f>IF(B46="","",B46+7)</f>
        <v/>
      </c>
      <c r="C48" s="222"/>
      <c r="D48" s="223" t="str">
        <f t="shared" si="27"/>
        <v>Weight</v>
      </c>
      <c r="E48" s="282"/>
      <c r="F48" s="274"/>
      <c r="G48" s="274"/>
      <c r="H48" s="274"/>
      <c r="I48" s="274"/>
      <c r="J48" s="274"/>
      <c r="K48" s="273"/>
      <c r="L48" s="284" t="str">
        <f t="shared" si="6"/>
        <v/>
      </c>
      <c r="M48" s="227"/>
      <c r="N48" s="228"/>
      <c r="O48" s="228"/>
      <c r="P48" s="228"/>
      <c r="Q48" s="276" t="str">
        <f>BL48</f>
        <v/>
      </c>
      <c r="R48" s="228"/>
      <c r="S48" s="230" t="str">
        <f>IFERROR(__xludf.DUMMYFUNCTION("IF(L48="""","""",(L48-index(filter($L$36:L46,$L$36:L46&lt;&gt;"""",ISEVEN(row($L$36:L46))),count(filter($L$36:L46,$L$36:L46&lt;&gt;"""",iseven(row($L$36:L46)))),1)))"),"")</f>
        <v/>
      </c>
      <c r="T48" s="231"/>
      <c r="U48" s="232" t="str">
        <f>if(BD$24=FALSE,"",IF(L48="","",BC48))</f>
        <v/>
      </c>
      <c r="V48" s="233"/>
      <c r="W48" s="234">
        <f>IF(count(S48:S49)&gt;1,1,0)</f>
        <v>0</v>
      </c>
      <c r="X48" s="235" t="str">
        <f>if(Y48="","","Week 7")</f>
        <v/>
      </c>
      <c r="Y48" s="236" t="str">
        <f>IF(S48="","",text(B48,"MMM-YY"))</f>
        <v/>
      </c>
      <c r="Z48" s="173"/>
      <c r="AA48" s="173"/>
      <c r="AC48" s="264" t="str">
        <f t="shared" si="8"/>
        <v/>
      </c>
      <c r="AD48" s="212">
        <f t="shared" ref="AD48:AI48" si="51">AC48+1</f>
        <v>1</v>
      </c>
      <c r="AE48" s="212">
        <f t="shared" si="51"/>
        <v>2</v>
      </c>
      <c r="AF48" s="212">
        <f t="shared" si="51"/>
        <v>3</v>
      </c>
      <c r="AG48" s="212">
        <f t="shared" si="51"/>
        <v>4</v>
      </c>
      <c r="AH48" s="212">
        <f t="shared" si="51"/>
        <v>5</v>
      </c>
      <c r="AI48" s="265">
        <f t="shared" si="51"/>
        <v>6</v>
      </c>
      <c r="AJ48" s="266">
        <f>AJ46+1</f>
        <v>7</v>
      </c>
      <c r="AK48" s="277">
        <v>6.0</v>
      </c>
      <c r="AL48" s="54">
        <f t="shared" si="10"/>
        <v>0</v>
      </c>
      <c r="AM48" s="198" t="str">
        <f>IF(K48="",AM46,K48)</f>
        <v/>
      </c>
      <c r="AN48" s="54"/>
      <c r="AO48" s="241"/>
      <c r="AP48" s="242" t="str">
        <f t="shared" si="22"/>
        <v/>
      </c>
      <c r="AQ48" s="242" t="str">
        <f t="shared" ref="AQ48:AV48" si="52">IF(F48="",AP48,F48)</f>
        <v/>
      </c>
      <c r="AR48" s="242" t="str">
        <f t="shared" si="52"/>
        <v/>
      </c>
      <c r="AS48" s="242" t="str">
        <f t="shared" si="52"/>
        <v/>
      </c>
      <c r="AT48" s="242" t="str">
        <f t="shared" si="52"/>
        <v/>
      </c>
      <c r="AU48" s="242" t="str">
        <f t="shared" si="52"/>
        <v/>
      </c>
      <c r="AV48" s="242" t="str">
        <f t="shared" si="52"/>
        <v/>
      </c>
      <c r="AW48" s="278" t="str">
        <f t="shared" si="30"/>
        <v/>
      </c>
      <c r="AX48" s="244">
        <f>if(AND(AW48=AX$34,$AL48&gt;0),ROW(),0)</f>
        <v>0</v>
      </c>
      <c r="AY48" s="244">
        <f>if(AND(AW48=AY$34,$AL48&gt;0),ROW(),0)</f>
        <v>0</v>
      </c>
      <c r="AZ48" s="279" t="str">
        <f>IF(AW48="","",AW48-AW46)</f>
        <v/>
      </c>
      <c r="BA48" s="246">
        <f>if(BB48&gt;0,row(),0)</f>
        <v>48</v>
      </c>
      <c r="BB48" s="246">
        <f>max(if(E48=AW$30,COLUMN(E48),0),if(F48=AW$30,COLUMN(F48),0),if(G48=AW$30,COLUMN(G48),0),if(H48=AW$30,COLUMN(H48),0),if(I48=AW$30,COLUMN(I48),0),if(J48=AW$30,COLUMN(J48),0),if(K48=AW$30,COLUMN(K48),0))</f>
        <v>11</v>
      </c>
      <c r="BC48" s="247" t="str">
        <f>IF(BD48="","",IF(AZ48="","",BD48))</f>
        <v/>
      </c>
      <c r="BD48" s="248">
        <f>IF(AL48=0,BD46,IF(AL49=0,BD46,((AW49+(((-AZ48)*$BD$7)/AL49)+sum($BE$38:BE46))/AK48)))</f>
        <v>0</v>
      </c>
      <c r="BE48" s="249">
        <f>IF(AL48=0,BE46,IF(AL49=0,BE46,AW49+(((-AZ48)*$BD$7)/AL49)))</f>
        <v>0</v>
      </c>
      <c r="BF48" s="54"/>
      <c r="BG48" s="54"/>
      <c r="BH48" s="54"/>
      <c r="BI48" s="54"/>
      <c r="BJ48" s="173" t="str">
        <f>text(B48,"YYYY MMM")</f>
        <v/>
      </c>
      <c r="BK48" s="173"/>
      <c r="BL48" s="174" t="str">
        <f>if($G$13="Disable","", if($G$9="","",if(and($G$9="Male",count($N48:$O48)&lt;&gt;2),"",
if(and($G$9="Male",count($N48:$O48)=2),round(if($N48="","",
     if($G$14="cm",86.01*log($N48-$O48)-70.041*log($G$15)+30.3,
     if($G$14="inch",86.01*log(($N48-$O48)*2.54)-70.041*log($G$15*2.54)+30.3))),0),                                         
if(and($G$9="Female",count($N48:$P48)&lt;&gt;3),"",
if(and($G$9="Female",count($N48:$P48)=3),round(if($N48="","",
        if($G$14="cm",495/(1.29579-0.35004*log10($N48+$P48-$O48)+0.221 * log10($G$15))-450,
        if($G$14="inch",495/(1.29579-0.35004*log10(($N48+$P48-$O48)*2.54)+0.221 * log10($G$15*2.54))-450))),0)))))))</f>
        <v/>
      </c>
      <c r="BM48" s="173"/>
      <c r="BN48" s="175"/>
      <c r="BO48" s="250" t="str">
        <f>IFERROR(__xludf.DUMMYFUNCTION("""COMPUTED_VALUE"""),"")</f>
        <v/>
      </c>
      <c r="BP48" s="250" t="str">
        <f t="shared" si="36"/>
        <v/>
      </c>
      <c r="BQ48" s="250" t="str">
        <f>IFERROR(__xludf.DUMMYFUNCTION("""COMPUTED_VALUE"""),"")</f>
        <v/>
      </c>
      <c r="BR48" s="250"/>
      <c r="BS48" s="250" t="str">
        <f t="shared" si="15"/>
        <v/>
      </c>
      <c r="BT48" s="250" t="str">
        <f t="shared" si="37"/>
        <v/>
      </c>
      <c r="BU48" s="253" t="str">
        <f t="shared" si="33"/>
        <v/>
      </c>
      <c r="BV48" s="254" t="b">
        <f t="shared" si="17"/>
        <v>0</v>
      </c>
      <c r="BW48" s="175" t="str">
        <f t="shared" si="38"/>
        <v/>
      </c>
      <c r="BX48" s="44" t="b">
        <f t="shared" si="19"/>
        <v>0</v>
      </c>
      <c r="BY48" s="202" t="b">
        <f t="shared" si="20"/>
        <v>0</v>
      </c>
      <c r="BZ48" s="203">
        <f t="shared" si="25"/>
        <v>0</v>
      </c>
      <c r="CA48" s="175">
        <f t="shared" si="26"/>
        <v>0</v>
      </c>
      <c r="CB48" s="175"/>
      <c r="CC48" s="173"/>
      <c r="CD48" s="173"/>
    </row>
    <row r="49">
      <c r="A49" s="11"/>
      <c r="B49" s="255"/>
      <c r="C49" s="256"/>
      <c r="D49" s="257" t="str">
        <f t="shared" si="27"/>
        <v>Calories</v>
      </c>
      <c r="E49" s="285"/>
      <c r="F49" s="259"/>
      <c r="G49" s="259"/>
      <c r="H49" s="259"/>
      <c r="I49" s="259"/>
      <c r="J49" s="259"/>
      <c r="K49" s="259"/>
      <c r="L49" s="260" t="str">
        <f t="shared" si="6"/>
        <v/>
      </c>
      <c r="M49" s="261"/>
      <c r="N49" s="255"/>
      <c r="O49" s="255"/>
      <c r="P49" s="255"/>
      <c r="Q49" s="255"/>
      <c r="R49" s="255"/>
      <c r="S49" s="255"/>
      <c r="T49" s="231"/>
      <c r="U49" s="255"/>
      <c r="V49" s="233"/>
      <c r="W49" s="262"/>
      <c r="X49" s="262"/>
      <c r="Y49" s="263"/>
      <c r="Z49" s="173"/>
      <c r="AA49" s="173"/>
      <c r="AC49" s="264" t="str">
        <f t="shared" si="8"/>
        <v/>
      </c>
      <c r="AD49" s="212">
        <f t="shared" ref="AD49:AI49" si="53">AC49+1</f>
        <v>1</v>
      </c>
      <c r="AE49" s="212">
        <f t="shared" si="53"/>
        <v>2</v>
      </c>
      <c r="AF49" s="212">
        <f t="shared" si="53"/>
        <v>3</v>
      </c>
      <c r="AG49" s="212">
        <f t="shared" si="53"/>
        <v>4</v>
      </c>
      <c r="AH49" s="212">
        <f t="shared" si="53"/>
        <v>5</v>
      </c>
      <c r="AI49" s="265">
        <f t="shared" si="53"/>
        <v>6</v>
      </c>
      <c r="AJ49" s="266">
        <f>AJ48+0.5</f>
        <v>7.5</v>
      </c>
      <c r="AK49" s="69"/>
      <c r="AL49" s="54">
        <f t="shared" si="10"/>
        <v>0</v>
      </c>
      <c r="AM49" s="183" t="str">
        <f>AM48</f>
        <v/>
      </c>
      <c r="AN49" s="54"/>
      <c r="AO49" s="267"/>
      <c r="AP49" s="242" t="str">
        <f t="shared" si="22"/>
        <v/>
      </c>
      <c r="AQ49" s="242" t="str">
        <f t="shared" ref="AQ49:AV49" si="54">IF(F49="",AP49,F49)</f>
        <v/>
      </c>
      <c r="AR49" s="242" t="str">
        <f t="shared" si="54"/>
        <v/>
      </c>
      <c r="AS49" s="242" t="str">
        <f t="shared" si="54"/>
        <v/>
      </c>
      <c r="AT49" s="242" t="str">
        <f t="shared" si="54"/>
        <v/>
      </c>
      <c r="AU49" s="242" t="str">
        <f t="shared" si="54"/>
        <v/>
      </c>
      <c r="AV49" s="242" t="str">
        <f t="shared" si="54"/>
        <v/>
      </c>
      <c r="AW49" s="268" t="str">
        <f t="shared" si="30"/>
        <v/>
      </c>
      <c r="AX49" s="269"/>
      <c r="AY49" s="270"/>
      <c r="AZ49" s="271"/>
      <c r="BA49" s="246"/>
      <c r="BB49" s="246"/>
      <c r="BC49" s="263"/>
      <c r="BD49" s="66"/>
      <c r="BE49" s="69"/>
      <c r="BF49" s="54"/>
      <c r="BG49" s="54"/>
      <c r="BH49" s="54"/>
      <c r="BI49" s="54"/>
      <c r="BK49" s="173"/>
      <c r="BM49" s="173"/>
      <c r="BN49" s="175"/>
      <c r="BO49" s="250" t="str">
        <f>IFERROR(__xludf.DUMMYFUNCTION("""COMPUTED_VALUE"""),"")</f>
        <v/>
      </c>
      <c r="BP49" s="250" t="str">
        <f t="shared" si="36"/>
        <v/>
      </c>
      <c r="BQ49" s="250" t="str">
        <f>IFERROR(__xludf.DUMMYFUNCTION("""COMPUTED_VALUE"""),"")</f>
        <v/>
      </c>
      <c r="BR49" s="250"/>
      <c r="BS49" s="250" t="str">
        <f t="shared" si="15"/>
        <v/>
      </c>
      <c r="BT49" s="250" t="str">
        <f t="shared" si="37"/>
        <v/>
      </c>
      <c r="BU49" s="253" t="str">
        <f t="shared" si="33"/>
        <v/>
      </c>
      <c r="BV49" s="254" t="b">
        <f t="shared" si="17"/>
        <v>0</v>
      </c>
      <c r="BW49" s="175" t="str">
        <f t="shared" si="38"/>
        <v/>
      </c>
      <c r="BX49" s="44" t="b">
        <f t="shared" si="19"/>
        <v>0</v>
      </c>
      <c r="BY49" s="202" t="b">
        <f t="shared" si="20"/>
        <v>0</v>
      </c>
      <c r="BZ49" s="203">
        <f t="shared" si="25"/>
        <v>0</v>
      </c>
      <c r="CA49" s="175">
        <f t="shared" si="26"/>
        <v>0</v>
      </c>
      <c r="CB49" s="175"/>
      <c r="CC49" s="173"/>
      <c r="CD49" s="173"/>
    </row>
    <row r="50" ht="15.75" customHeight="1">
      <c r="A50" s="11"/>
      <c r="B50" s="221" t="str">
        <f>IF(B48="","",B48+7)</f>
        <v/>
      </c>
      <c r="C50" s="222"/>
      <c r="D50" s="223" t="str">
        <f t="shared" si="27"/>
        <v>Weight</v>
      </c>
      <c r="E50" s="282"/>
      <c r="F50" s="273"/>
      <c r="G50" s="274"/>
      <c r="H50" s="274"/>
      <c r="I50" s="274"/>
      <c r="J50" s="274"/>
      <c r="K50" s="274"/>
      <c r="L50" s="284" t="str">
        <f t="shared" si="6"/>
        <v/>
      </c>
      <c r="M50" s="227"/>
      <c r="N50" s="228"/>
      <c r="O50" s="228"/>
      <c r="P50" s="228"/>
      <c r="Q50" s="276" t="str">
        <f>BL50</f>
        <v/>
      </c>
      <c r="R50" s="228"/>
      <c r="S50" s="230" t="str">
        <f>IFERROR(__xludf.DUMMYFUNCTION("IF(L50="""","""",(L50-index(filter($L$36:L48,$L$36:L48&lt;&gt;"""",ISEVEN(row($L$36:L48))),count(filter($L$36:L48,$L$36:L48&lt;&gt;"""",iseven(row($L$36:L48)))),1)))"),"")</f>
        <v/>
      </c>
      <c r="T50" s="231"/>
      <c r="U50" s="232" t="str">
        <f>if(BD$24=FALSE,"",IF(L50="","",BC50))</f>
        <v/>
      </c>
      <c r="V50" s="233"/>
      <c r="W50" s="234">
        <f>IF(count(S50:S51)&gt;1,1,0)</f>
        <v>0</v>
      </c>
      <c r="X50" s="235" t="str">
        <f>if(Y50="","","Week 8")</f>
        <v/>
      </c>
      <c r="Y50" s="236" t="str">
        <f>IF(S50="","",text(B50,"MMM-YY"))</f>
        <v/>
      </c>
      <c r="Z50" s="173"/>
      <c r="AA50" s="173"/>
      <c r="AC50" s="264" t="str">
        <f t="shared" si="8"/>
        <v/>
      </c>
      <c r="AD50" s="212">
        <f t="shared" ref="AD50:AI50" si="55">AC50+1</f>
        <v>1</v>
      </c>
      <c r="AE50" s="212">
        <f t="shared" si="55"/>
        <v>2</v>
      </c>
      <c r="AF50" s="212">
        <f t="shared" si="55"/>
        <v>3</v>
      </c>
      <c r="AG50" s="212">
        <f t="shared" si="55"/>
        <v>4</v>
      </c>
      <c r="AH50" s="212">
        <f t="shared" si="55"/>
        <v>5</v>
      </c>
      <c r="AI50" s="265">
        <f t="shared" si="55"/>
        <v>6</v>
      </c>
      <c r="AJ50" s="266">
        <f>AJ48+1</f>
        <v>8</v>
      </c>
      <c r="AK50" s="277">
        <v>7.0</v>
      </c>
      <c r="AL50" s="54">
        <f t="shared" si="10"/>
        <v>0</v>
      </c>
      <c r="AM50" s="198" t="str">
        <f>IF(K50="",AM48,K50)</f>
        <v/>
      </c>
      <c r="AN50" s="54"/>
      <c r="AO50" s="241"/>
      <c r="AP50" s="242" t="str">
        <f t="shared" si="22"/>
        <v/>
      </c>
      <c r="AQ50" s="242" t="str">
        <f t="shared" ref="AQ50:AV50" si="56">IF(F50="",AP50,F50)</f>
        <v/>
      </c>
      <c r="AR50" s="242" t="str">
        <f t="shared" si="56"/>
        <v/>
      </c>
      <c r="AS50" s="242" t="str">
        <f t="shared" si="56"/>
        <v/>
      </c>
      <c r="AT50" s="242" t="str">
        <f t="shared" si="56"/>
        <v/>
      </c>
      <c r="AU50" s="242" t="str">
        <f t="shared" si="56"/>
        <v/>
      </c>
      <c r="AV50" s="242" t="str">
        <f t="shared" si="56"/>
        <v/>
      </c>
      <c r="AW50" s="278" t="str">
        <f t="shared" si="30"/>
        <v/>
      </c>
      <c r="AX50" s="244">
        <f>if(AND(AW50=AX$34,$AL50&gt;0),ROW(),0)</f>
        <v>0</v>
      </c>
      <c r="AY50" s="244">
        <f>if(AND(AW50=AY$34,$AL50&gt;0),ROW(),0)</f>
        <v>0</v>
      </c>
      <c r="AZ50" s="279" t="str">
        <f>IF(AW50="","",AW50-AW48)</f>
        <v/>
      </c>
      <c r="BA50" s="246">
        <f>if(BB50&gt;0,row(),0)</f>
        <v>50</v>
      </c>
      <c r="BB50" s="246">
        <f>max(if(E50=AW$30,COLUMN(E50),0),if(F50=AW$30,COLUMN(F50),0),if(G50=AW$30,COLUMN(G50),0),if(H50=AW$30,COLUMN(H50),0),if(I50=AW$30,COLUMN(I50),0),if(J50=AW$30,COLUMN(J50),0),if(K50=AW$30,COLUMN(K50),0))</f>
        <v>11</v>
      </c>
      <c r="BC50" s="247" t="str">
        <f>IF(BD50="","",IF(AZ50="","",BD50))</f>
        <v/>
      </c>
      <c r="BD50" s="248">
        <f>IF(AL50=0,BD48,IF(AL51=0,BD48,((AW51+(((-AZ50)*$BD$7)/AL51)+sum($BE$38:BE48))/AK50)))</f>
        <v>0</v>
      </c>
      <c r="BE50" s="249">
        <f>IF(AL50=0,BE48,IF(AL51=0,BE48,AW51+(((-AZ50)*$BD$7)/AL51)))</f>
        <v>0</v>
      </c>
      <c r="BF50" s="54"/>
      <c r="BG50" s="54"/>
      <c r="BH50" s="54"/>
      <c r="BI50" s="54"/>
      <c r="BJ50" s="173" t="str">
        <f>text(B50,"YYYY MMM")</f>
        <v/>
      </c>
      <c r="BK50" s="173"/>
      <c r="BL50" s="174" t="str">
        <f>if($G$13="Disable","", if($G$9="","",if(and($G$9="Male",count($N50:$O50)&lt;&gt;2),"",
if(and($G$9="Male",count($N50:$O50)=2),round(if($N50="","",
     if($G$14="cm",86.01*log($N50-$O50)-70.041*log($G$15)+30.3,
     if($G$14="inch",86.01*log(($N50-$O50)*2.54)-70.041*log($G$15*2.54)+30.3))),0),                                         
if(and($G$9="Female",count($N50:$P50)&lt;&gt;3),"",
if(and($G$9="Female",count($N50:$P50)=3),round(if($N50="","",
        if($G$14="cm",495/(1.29579-0.35004*log10($N50+$P50-$O50)+0.221 * log10($G$15))-450,
        if($G$14="inch",495/(1.29579-0.35004*log10(($N50+$P50-$O50)*2.54)+0.221 * log10($G$15*2.54))-450))),0)))))))</f>
        <v/>
      </c>
      <c r="BM50" s="173"/>
      <c r="BN50" s="175"/>
      <c r="BO50" s="250" t="str">
        <f>IFERROR(__xludf.DUMMYFUNCTION("""COMPUTED_VALUE"""),"")</f>
        <v/>
      </c>
      <c r="BP50" s="250" t="str">
        <f t="shared" si="36"/>
        <v/>
      </c>
      <c r="BQ50" s="250" t="str">
        <f>IFERROR(__xludf.DUMMYFUNCTION("""COMPUTED_VALUE"""),"")</f>
        <v/>
      </c>
      <c r="BR50" s="250"/>
      <c r="BS50" s="250" t="str">
        <f t="shared" si="15"/>
        <v/>
      </c>
      <c r="BT50" s="250" t="str">
        <f t="shared" si="37"/>
        <v/>
      </c>
      <c r="BU50" s="253" t="str">
        <f t="shared" si="33"/>
        <v/>
      </c>
      <c r="BV50" s="254" t="b">
        <f t="shared" si="17"/>
        <v>0</v>
      </c>
      <c r="BW50" s="175" t="str">
        <f t="shared" si="38"/>
        <v/>
      </c>
      <c r="BX50" s="44" t="b">
        <f t="shared" si="19"/>
        <v>0</v>
      </c>
      <c r="BY50" s="202" t="b">
        <f t="shared" si="20"/>
        <v>0</v>
      </c>
      <c r="BZ50" s="203">
        <f t="shared" si="25"/>
        <v>0</v>
      </c>
      <c r="CA50" s="175">
        <f t="shared" si="26"/>
        <v>0</v>
      </c>
      <c r="CB50" s="175"/>
      <c r="CC50" s="173"/>
      <c r="CD50" s="173"/>
    </row>
    <row r="51" ht="15.75" customHeight="1">
      <c r="A51" s="11"/>
      <c r="B51" s="255"/>
      <c r="C51" s="256"/>
      <c r="D51" s="257" t="str">
        <f t="shared" si="27"/>
        <v>Calories</v>
      </c>
      <c r="E51" s="258"/>
      <c r="F51" s="280"/>
      <c r="G51" s="259"/>
      <c r="H51" s="259"/>
      <c r="I51" s="259"/>
      <c r="J51" s="259"/>
      <c r="K51" s="259"/>
      <c r="L51" s="260" t="str">
        <f t="shared" si="6"/>
        <v/>
      </c>
      <c r="M51" s="261"/>
      <c r="N51" s="255"/>
      <c r="O51" s="255"/>
      <c r="P51" s="255"/>
      <c r="Q51" s="255"/>
      <c r="R51" s="255"/>
      <c r="S51" s="255"/>
      <c r="T51" s="231"/>
      <c r="U51" s="255"/>
      <c r="V51" s="233"/>
      <c r="W51" s="262"/>
      <c r="X51" s="262"/>
      <c r="Y51" s="263"/>
      <c r="Z51" s="173"/>
      <c r="AA51" s="173"/>
      <c r="AC51" s="264" t="str">
        <f t="shared" si="8"/>
        <v/>
      </c>
      <c r="AD51" s="212">
        <f t="shared" ref="AD51:AI51" si="57">AC51+1</f>
        <v>1</v>
      </c>
      <c r="AE51" s="212">
        <f t="shared" si="57"/>
        <v>2</v>
      </c>
      <c r="AF51" s="212">
        <f t="shared" si="57"/>
        <v>3</v>
      </c>
      <c r="AG51" s="212">
        <f t="shared" si="57"/>
        <v>4</v>
      </c>
      <c r="AH51" s="212">
        <f t="shared" si="57"/>
        <v>5</v>
      </c>
      <c r="AI51" s="265">
        <f t="shared" si="57"/>
        <v>6</v>
      </c>
      <c r="AJ51" s="266">
        <f>AJ50+0.5</f>
        <v>8.5</v>
      </c>
      <c r="AK51" s="69"/>
      <c r="AL51" s="54">
        <f t="shared" si="10"/>
        <v>0</v>
      </c>
      <c r="AM51" s="183" t="str">
        <f>AM50</f>
        <v/>
      </c>
      <c r="AN51" s="54"/>
      <c r="AO51" s="267"/>
      <c r="AP51" s="242" t="str">
        <f t="shared" si="22"/>
        <v/>
      </c>
      <c r="AQ51" s="242" t="str">
        <f t="shared" ref="AQ51:AV51" si="58">IF(F51="",AP51,F51)</f>
        <v/>
      </c>
      <c r="AR51" s="242" t="str">
        <f t="shared" si="58"/>
        <v/>
      </c>
      <c r="AS51" s="242" t="str">
        <f t="shared" si="58"/>
        <v/>
      </c>
      <c r="AT51" s="242" t="str">
        <f t="shared" si="58"/>
        <v/>
      </c>
      <c r="AU51" s="242" t="str">
        <f t="shared" si="58"/>
        <v/>
      </c>
      <c r="AV51" s="242" t="str">
        <f t="shared" si="58"/>
        <v/>
      </c>
      <c r="AW51" s="268" t="str">
        <f t="shared" si="30"/>
        <v/>
      </c>
      <c r="AX51" s="269"/>
      <c r="AY51" s="270"/>
      <c r="AZ51" s="271"/>
      <c r="BA51" s="246"/>
      <c r="BB51" s="246"/>
      <c r="BC51" s="263"/>
      <c r="BD51" s="66"/>
      <c r="BE51" s="69"/>
      <c r="BF51" s="54"/>
      <c r="BG51" s="54"/>
      <c r="BH51" s="54"/>
      <c r="BI51" s="54"/>
      <c r="BK51" s="173"/>
      <c r="BM51" s="173"/>
      <c r="BN51" s="175"/>
      <c r="BO51" s="250" t="str">
        <f>IFERROR(__xludf.DUMMYFUNCTION("""COMPUTED_VALUE"""),"")</f>
        <v/>
      </c>
      <c r="BP51" s="250" t="str">
        <f t="shared" si="36"/>
        <v/>
      </c>
      <c r="BQ51" s="250" t="str">
        <f>IFERROR(__xludf.DUMMYFUNCTION("""COMPUTED_VALUE"""),"")</f>
        <v/>
      </c>
      <c r="BR51" s="250"/>
      <c r="BS51" s="250" t="str">
        <f t="shared" si="15"/>
        <v/>
      </c>
      <c r="BT51" s="250" t="str">
        <f t="shared" si="37"/>
        <v/>
      </c>
      <c r="BU51" s="253" t="str">
        <f t="shared" si="33"/>
        <v/>
      </c>
      <c r="BV51" s="254" t="b">
        <f t="shared" si="17"/>
        <v>0</v>
      </c>
      <c r="BW51" s="175" t="str">
        <f t="shared" si="38"/>
        <v/>
      </c>
      <c r="BX51" s="44" t="b">
        <f t="shared" si="19"/>
        <v>0</v>
      </c>
      <c r="BY51" s="202" t="b">
        <f t="shared" si="20"/>
        <v>0</v>
      </c>
      <c r="BZ51" s="203">
        <f t="shared" si="25"/>
        <v>0</v>
      </c>
      <c r="CA51" s="175">
        <f t="shared" si="26"/>
        <v>0</v>
      </c>
      <c r="CB51" s="175"/>
      <c r="CC51" s="173"/>
      <c r="CD51" s="173"/>
    </row>
    <row r="52" ht="15.75" customHeight="1">
      <c r="A52" s="11"/>
      <c r="B52" s="221" t="str">
        <f>IF(B50="","",B50+7)</f>
        <v/>
      </c>
      <c r="C52" s="222"/>
      <c r="D52" s="223" t="str">
        <f t="shared" si="27"/>
        <v>Weight</v>
      </c>
      <c r="E52" s="282"/>
      <c r="F52" s="274"/>
      <c r="G52" s="274"/>
      <c r="H52" s="274"/>
      <c r="I52" s="274"/>
      <c r="J52" s="274"/>
      <c r="K52" s="274"/>
      <c r="L52" s="284" t="str">
        <f t="shared" si="6"/>
        <v/>
      </c>
      <c r="M52" s="227"/>
      <c r="N52" s="228"/>
      <c r="O52" s="228"/>
      <c r="P52" s="228"/>
      <c r="Q52" s="276" t="str">
        <f>BL52</f>
        <v/>
      </c>
      <c r="R52" s="228"/>
      <c r="S52" s="230" t="str">
        <f>IFERROR(__xludf.DUMMYFUNCTION("IF(L52="""","""",(L52-index(filter($L$36:L50,$L$36:L50&lt;&gt;"""",ISEVEN(row($L$36:L50))),count(filter($L$36:L50,$L$36:L50&lt;&gt;"""",iseven(row($L$36:L50)))),1)))"),"")</f>
        <v/>
      </c>
      <c r="T52" s="231"/>
      <c r="U52" s="232" t="str">
        <f>if(BD$24=FALSE,"",IF(L52="","",BC52))</f>
        <v/>
      </c>
      <c r="V52" s="233"/>
      <c r="W52" s="234">
        <f>IF(count(S52:S53)&gt;1,1,0)</f>
        <v>0</v>
      </c>
      <c r="X52" s="235" t="str">
        <f>if(Y52="","","Week 9")</f>
        <v/>
      </c>
      <c r="Y52" s="236" t="str">
        <f>IF(S52="","",text(B52,"MMM-YY"))</f>
        <v/>
      </c>
      <c r="Z52" s="173"/>
      <c r="AA52" s="173"/>
      <c r="AC52" s="264" t="str">
        <f t="shared" si="8"/>
        <v/>
      </c>
      <c r="AD52" s="212">
        <f t="shared" ref="AD52:AI52" si="59">AC52+1</f>
        <v>1</v>
      </c>
      <c r="AE52" s="212">
        <f t="shared" si="59"/>
        <v>2</v>
      </c>
      <c r="AF52" s="212">
        <f t="shared" si="59"/>
        <v>3</v>
      </c>
      <c r="AG52" s="212">
        <f t="shared" si="59"/>
        <v>4</v>
      </c>
      <c r="AH52" s="212">
        <f t="shared" si="59"/>
        <v>5</v>
      </c>
      <c r="AI52" s="265">
        <f t="shared" si="59"/>
        <v>6</v>
      </c>
      <c r="AJ52" s="266">
        <f>AJ50+1</f>
        <v>9</v>
      </c>
      <c r="AK52" s="277">
        <v>8.0</v>
      </c>
      <c r="AL52" s="54">
        <f t="shared" si="10"/>
        <v>0</v>
      </c>
      <c r="AM52" s="198" t="str">
        <f>IF(K52="",AM50,K52)</f>
        <v/>
      </c>
      <c r="AN52" s="54"/>
      <c r="AO52" s="241"/>
      <c r="AP52" s="242" t="str">
        <f t="shared" si="22"/>
        <v/>
      </c>
      <c r="AQ52" s="242" t="str">
        <f t="shared" ref="AQ52:AV52" si="60">IF(F52="",AP52,F52)</f>
        <v/>
      </c>
      <c r="AR52" s="242" t="str">
        <f t="shared" si="60"/>
        <v/>
      </c>
      <c r="AS52" s="242" t="str">
        <f t="shared" si="60"/>
        <v/>
      </c>
      <c r="AT52" s="242" t="str">
        <f t="shared" si="60"/>
        <v/>
      </c>
      <c r="AU52" s="242" t="str">
        <f t="shared" si="60"/>
        <v/>
      </c>
      <c r="AV52" s="242" t="str">
        <f t="shared" si="60"/>
        <v/>
      </c>
      <c r="AW52" s="278" t="str">
        <f t="shared" si="30"/>
        <v/>
      </c>
      <c r="AX52" s="244">
        <f>if(AND(AW52=AX$34,$AL52&gt;0),ROW(),0)</f>
        <v>0</v>
      </c>
      <c r="AY52" s="244">
        <f>if(AND(AW52=AY$34,$AL52&gt;0),ROW(),0)</f>
        <v>0</v>
      </c>
      <c r="AZ52" s="279" t="str">
        <f>IF(AW52="","",AW52-AW50)</f>
        <v/>
      </c>
      <c r="BA52" s="246">
        <f>if(BB52&gt;0,row(),0)</f>
        <v>52</v>
      </c>
      <c r="BB52" s="246">
        <f>max(if(E52=AW$30,COLUMN(E52),0),if(F52=AW$30,COLUMN(F52),0),if(G52=AW$30,COLUMN(G52),0),if(H52=AW$30,COLUMN(H52),0),if(I52=AW$30,COLUMN(I52),0),if(J52=AW$30,COLUMN(J52),0),if(K52=AW$30,COLUMN(K52),0))</f>
        <v>11</v>
      </c>
      <c r="BC52" s="247" t="str">
        <f>IF(BD52="","",IF(AZ52="","",BD52))</f>
        <v/>
      </c>
      <c r="BD52" s="248">
        <f>IF(AL52=0,BD50,IF(AL53=0,BD50,((AW53+(((-AZ52)*$BD$7)/AL53)+sum($BE$38:BE50))/AK52)))</f>
        <v>0</v>
      </c>
      <c r="BE52" s="249">
        <f>IF(AL52=0,BE50,IF(AL53=0,BE50,AW53+(((-AZ52)*$BD$7)/AL53)))</f>
        <v>0</v>
      </c>
      <c r="BF52" s="54"/>
      <c r="BG52" s="54"/>
      <c r="BH52" s="54"/>
      <c r="BI52" s="54"/>
      <c r="BJ52" s="173" t="str">
        <f>text(B52,"YYYY MMM")</f>
        <v/>
      </c>
      <c r="BK52" s="173"/>
      <c r="BL52" s="174" t="str">
        <f>if($G$13="Disable","", if($G$9="","",if(and($G$9="Male",count($N52:$O52)&lt;&gt;2),"",
if(and($G$9="Male",count($N52:$O52)=2),round(if($N52="","",
     if($G$14="cm",86.01*log($N52-$O52)-70.041*log($G$15)+30.3,
     if($G$14="inch",86.01*log(($N52-$O52)*2.54)-70.041*log($G$15*2.54)+30.3))),0),                                         
if(and($G$9="Female",count($N52:$P52)&lt;&gt;3),"",
if(and($G$9="Female",count($N52:$P52)=3),round(if($N52="","",
        if($G$14="cm",495/(1.29579-0.35004*log10($N52+$P52-$O52)+0.221 * log10($G$15))-450,
        if($G$14="inch",495/(1.29579-0.35004*log10(($N52+$P52-$O52)*2.54)+0.221 * log10($G$15*2.54))-450))),0)))))))</f>
        <v/>
      </c>
      <c r="BM52" s="173"/>
      <c r="BN52" s="175"/>
      <c r="BO52" s="250" t="str">
        <f>IFERROR(__xludf.DUMMYFUNCTION("""COMPUTED_VALUE"""),"")</f>
        <v/>
      </c>
      <c r="BP52" s="250" t="str">
        <f t="shared" si="36"/>
        <v/>
      </c>
      <c r="BQ52" s="250" t="str">
        <f>IFERROR(__xludf.DUMMYFUNCTION("""COMPUTED_VALUE"""),"")</f>
        <v/>
      </c>
      <c r="BR52" s="250"/>
      <c r="BS52" s="250" t="str">
        <f t="shared" si="15"/>
        <v/>
      </c>
      <c r="BT52" s="250" t="str">
        <f t="shared" si="37"/>
        <v/>
      </c>
      <c r="BU52" s="253" t="str">
        <f t="shared" si="33"/>
        <v/>
      </c>
      <c r="BV52" s="254" t="b">
        <f t="shared" si="17"/>
        <v>0</v>
      </c>
      <c r="BW52" s="175" t="str">
        <f t="shared" si="38"/>
        <v/>
      </c>
      <c r="BX52" s="44" t="b">
        <f t="shared" si="19"/>
        <v>0</v>
      </c>
      <c r="BY52" s="202" t="b">
        <f t="shared" si="20"/>
        <v>0</v>
      </c>
      <c r="BZ52" s="203">
        <f t="shared" si="25"/>
        <v>0</v>
      </c>
      <c r="CA52" s="175">
        <f t="shared" si="26"/>
        <v>0</v>
      </c>
      <c r="CB52" s="175"/>
      <c r="CC52" s="173"/>
      <c r="CD52" s="173"/>
    </row>
    <row r="53" ht="15.75" customHeight="1">
      <c r="A53" s="11"/>
      <c r="B53" s="255"/>
      <c r="C53" s="256"/>
      <c r="D53" s="257" t="str">
        <f t="shared" si="27"/>
        <v>Calories</v>
      </c>
      <c r="E53" s="285"/>
      <c r="F53" s="259"/>
      <c r="G53" s="259"/>
      <c r="H53" s="259"/>
      <c r="I53" s="259"/>
      <c r="J53" s="259"/>
      <c r="K53" s="259"/>
      <c r="L53" s="260" t="str">
        <f t="shared" si="6"/>
        <v/>
      </c>
      <c r="M53" s="261"/>
      <c r="N53" s="255"/>
      <c r="O53" s="255"/>
      <c r="P53" s="255"/>
      <c r="Q53" s="255"/>
      <c r="R53" s="255"/>
      <c r="S53" s="255"/>
      <c r="T53" s="231"/>
      <c r="U53" s="255"/>
      <c r="V53" s="233"/>
      <c r="W53" s="262"/>
      <c r="X53" s="262"/>
      <c r="Y53" s="263"/>
      <c r="Z53" s="173"/>
      <c r="AA53" s="173"/>
      <c r="AC53" s="264" t="str">
        <f t="shared" si="8"/>
        <v/>
      </c>
      <c r="AD53" s="212">
        <f t="shared" ref="AD53:AI53" si="61">AC53+1</f>
        <v>1</v>
      </c>
      <c r="AE53" s="212">
        <f t="shared" si="61"/>
        <v>2</v>
      </c>
      <c r="AF53" s="212">
        <f t="shared" si="61"/>
        <v>3</v>
      </c>
      <c r="AG53" s="212">
        <f t="shared" si="61"/>
        <v>4</v>
      </c>
      <c r="AH53" s="212">
        <f t="shared" si="61"/>
        <v>5</v>
      </c>
      <c r="AI53" s="265">
        <f t="shared" si="61"/>
        <v>6</v>
      </c>
      <c r="AJ53" s="266">
        <f>AJ52+0.5</f>
        <v>9.5</v>
      </c>
      <c r="AK53" s="69"/>
      <c r="AL53" s="54">
        <f t="shared" si="10"/>
        <v>0</v>
      </c>
      <c r="AM53" s="183" t="str">
        <f>AM52</f>
        <v/>
      </c>
      <c r="AN53" s="54"/>
      <c r="AO53" s="267"/>
      <c r="AP53" s="242" t="str">
        <f t="shared" si="22"/>
        <v/>
      </c>
      <c r="AQ53" s="242" t="str">
        <f t="shared" ref="AQ53:AV53" si="62">IF(F53="",AP53,F53)</f>
        <v/>
      </c>
      <c r="AR53" s="242" t="str">
        <f t="shared" si="62"/>
        <v/>
      </c>
      <c r="AS53" s="242" t="str">
        <f t="shared" si="62"/>
        <v/>
      </c>
      <c r="AT53" s="242" t="str">
        <f t="shared" si="62"/>
        <v/>
      </c>
      <c r="AU53" s="242" t="str">
        <f t="shared" si="62"/>
        <v/>
      </c>
      <c r="AV53" s="242" t="str">
        <f t="shared" si="62"/>
        <v/>
      </c>
      <c r="AW53" s="268" t="str">
        <f t="shared" si="30"/>
        <v/>
      </c>
      <c r="AX53" s="269"/>
      <c r="AY53" s="270"/>
      <c r="AZ53" s="271"/>
      <c r="BA53" s="246"/>
      <c r="BB53" s="246"/>
      <c r="BC53" s="263"/>
      <c r="BD53" s="66"/>
      <c r="BE53" s="69"/>
      <c r="BF53" s="54"/>
      <c r="BG53" s="54"/>
      <c r="BH53" s="54"/>
      <c r="BI53" s="54"/>
      <c r="BK53" s="173"/>
      <c r="BM53" s="173"/>
      <c r="BN53" s="175"/>
      <c r="BO53" s="250" t="str">
        <f>IFERROR(__xludf.DUMMYFUNCTION("""COMPUTED_VALUE"""),"")</f>
        <v/>
      </c>
      <c r="BP53" s="250" t="str">
        <f t="shared" si="36"/>
        <v/>
      </c>
      <c r="BQ53" s="250" t="str">
        <f>IFERROR(__xludf.DUMMYFUNCTION("""COMPUTED_VALUE"""),"")</f>
        <v/>
      </c>
      <c r="BR53" s="250"/>
      <c r="BS53" s="250" t="str">
        <f t="shared" si="15"/>
        <v/>
      </c>
      <c r="BT53" s="250" t="str">
        <f t="shared" si="37"/>
        <v/>
      </c>
      <c r="BU53" s="253" t="str">
        <f t="shared" si="33"/>
        <v/>
      </c>
      <c r="BV53" s="254" t="b">
        <f t="shared" si="17"/>
        <v>0</v>
      </c>
      <c r="BW53" s="175" t="str">
        <f t="shared" si="38"/>
        <v/>
      </c>
      <c r="BX53" s="44" t="b">
        <f t="shared" si="19"/>
        <v>0</v>
      </c>
      <c r="BY53" s="202" t="b">
        <f t="shared" si="20"/>
        <v>0</v>
      </c>
      <c r="BZ53" s="203">
        <f t="shared" si="25"/>
        <v>0</v>
      </c>
      <c r="CA53" s="175">
        <f t="shared" si="26"/>
        <v>0</v>
      </c>
      <c r="CB53" s="175"/>
      <c r="CC53" s="173"/>
      <c r="CD53" s="173"/>
    </row>
    <row r="54">
      <c r="A54" s="11"/>
      <c r="B54" s="221" t="str">
        <f>IF(B52="","",B52+7)</f>
        <v/>
      </c>
      <c r="C54" s="222"/>
      <c r="D54" s="223" t="str">
        <f t="shared" si="27"/>
        <v>Weight</v>
      </c>
      <c r="E54" s="282"/>
      <c r="F54" s="274"/>
      <c r="G54" s="274"/>
      <c r="H54" s="274"/>
      <c r="I54" s="274"/>
      <c r="J54" s="274"/>
      <c r="K54" s="274"/>
      <c r="L54" s="284" t="str">
        <f t="shared" si="6"/>
        <v/>
      </c>
      <c r="M54" s="227"/>
      <c r="N54" s="228"/>
      <c r="O54" s="228"/>
      <c r="P54" s="228"/>
      <c r="Q54" s="276" t="str">
        <f>BL54</f>
        <v/>
      </c>
      <c r="R54" s="228"/>
      <c r="S54" s="230" t="str">
        <f>IFERROR(__xludf.DUMMYFUNCTION("IF(L54="""","""",(L54-index(filter($L$36:L52,$L$36:L52&lt;&gt;"""",ISEVEN(row($L$36:L52))),count(filter($L$36:L52,$L$36:L52&lt;&gt;"""",iseven(row($L$36:L52)))),1)))"),"")</f>
        <v/>
      </c>
      <c r="T54" s="231"/>
      <c r="U54" s="232" t="str">
        <f>if(BD$24=FALSE,"",IF(L54="","",BC54))</f>
        <v/>
      </c>
      <c r="V54" s="233"/>
      <c r="W54" s="234">
        <f>IF(count(S54:S55)&gt;1,1,0)</f>
        <v>0</v>
      </c>
      <c r="X54" s="235" t="str">
        <f>if(Y54="","","Week 10")</f>
        <v/>
      </c>
      <c r="Y54" s="236" t="str">
        <f>IF(S54="","",text(B54,"MMM-YY"))</f>
        <v/>
      </c>
      <c r="Z54" s="7"/>
      <c r="AA54" s="7"/>
      <c r="AC54" s="264" t="str">
        <f t="shared" si="8"/>
        <v/>
      </c>
      <c r="AD54" s="212">
        <f t="shared" ref="AD54:AI54" si="63">AC54+1</f>
        <v>1</v>
      </c>
      <c r="AE54" s="212">
        <f t="shared" si="63"/>
        <v>2</v>
      </c>
      <c r="AF54" s="212">
        <f t="shared" si="63"/>
        <v>3</v>
      </c>
      <c r="AG54" s="212">
        <f t="shared" si="63"/>
        <v>4</v>
      </c>
      <c r="AH54" s="212">
        <f t="shared" si="63"/>
        <v>5</v>
      </c>
      <c r="AI54" s="265">
        <f t="shared" si="63"/>
        <v>6</v>
      </c>
      <c r="AJ54" s="266">
        <f>AJ52+1</f>
        <v>10</v>
      </c>
      <c r="AK54" s="277">
        <v>9.0</v>
      </c>
      <c r="AL54" s="54">
        <f t="shared" si="10"/>
        <v>0</v>
      </c>
      <c r="AM54" s="198" t="str">
        <f>IF(K54="",AM52,K54)</f>
        <v/>
      </c>
      <c r="AN54" s="54"/>
      <c r="AO54" s="241"/>
      <c r="AP54" s="242" t="str">
        <f t="shared" si="22"/>
        <v/>
      </c>
      <c r="AQ54" s="242" t="str">
        <f t="shared" ref="AQ54:AV54" si="64">IF(F54="",AP54,F54)</f>
        <v/>
      </c>
      <c r="AR54" s="242" t="str">
        <f t="shared" si="64"/>
        <v/>
      </c>
      <c r="AS54" s="242" t="str">
        <f t="shared" si="64"/>
        <v/>
      </c>
      <c r="AT54" s="242" t="str">
        <f t="shared" si="64"/>
        <v/>
      </c>
      <c r="AU54" s="242" t="str">
        <f t="shared" si="64"/>
        <v/>
      </c>
      <c r="AV54" s="242" t="str">
        <f t="shared" si="64"/>
        <v/>
      </c>
      <c r="AW54" s="278" t="str">
        <f t="shared" si="30"/>
        <v/>
      </c>
      <c r="AX54" s="244">
        <f>if(AND(AW54=AX$34,$AL54&gt;0),ROW(),0)</f>
        <v>0</v>
      </c>
      <c r="AY54" s="244">
        <f>if(AND(AW54=AY$34,$AL54&gt;0),ROW(),0)</f>
        <v>0</v>
      </c>
      <c r="AZ54" s="279" t="str">
        <f>IF(AW54="","",AW54-AW52)</f>
        <v/>
      </c>
      <c r="BA54" s="246">
        <f>if(BB54&gt;0,row(),0)</f>
        <v>54</v>
      </c>
      <c r="BB54" s="246">
        <f>max(if(E54=AW$30,COLUMN(E54),0),if(F54=AW$30,COLUMN(F54),0),if(G54=AW$30,COLUMN(G54),0),if(H54=AW$30,COLUMN(H54),0),if(I54=AW$30,COLUMN(I54),0),if(J54=AW$30,COLUMN(J54),0),if(K54=AW$30,COLUMN(K54),0))</f>
        <v>11</v>
      </c>
      <c r="BC54" s="247" t="str">
        <f>IF(BD54="","",IF(AZ54="","",BD54))</f>
        <v/>
      </c>
      <c r="BD54" s="248">
        <f>IF(AL54=0,BD52,IF(AL55=0,BD52,((AW55+(((-AZ54)*$BD$7)/AL55)+sum($BE$38:BE52))/AK54)))</f>
        <v>0</v>
      </c>
      <c r="BE54" s="249">
        <f>IF(AL54=0,BE52,IF(AL55=0,BE52,AW55+(((-AZ54)*$BD$7)/AL55)))</f>
        <v>0</v>
      </c>
      <c r="BF54" s="54"/>
      <c r="BG54" s="54"/>
      <c r="BH54" s="54"/>
      <c r="BI54" s="54"/>
      <c r="BJ54" s="173" t="str">
        <f>text(B54,"YYYY MMM")</f>
        <v/>
      </c>
      <c r="BK54" s="173"/>
      <c r="BL54" s="174" t="str">
        <f>if($G$13="Disable","", if($G$9="","",if(and($G$9="Male",count($N54:$O54)&lt;&gt;2),"",
if(and($G$9="Male",count($N54:$O54)=2),round(if($N54="","",
     if($G$14="cm",86.01*log($N54-$O54)-70.041*log($G$15)+30.3,
     if($G$14="inch",86.01*log(($N54-$O54)*2.54)-70.041*log($G$15*2.54)+30.3))),0),                                         
if(and($G$9="Female",count($N54:$P54)&lt;&gt;3),"",
if(and($G$9="Female",count($N54:$P54)=3),round(if($N54="","",
        if($G$14="cm",495/(1.29579-0.35004*log10($N54+$P54-$O54)+0.221 * log10($G$15))-450,
        if($G$14="inch",495/(1.29579-0.35004*log10(($N54+$P54-$O54)*2.54)+0.221 * log10($G$15*2.54))-450))),0)))))))</f>
        <v/>
      </c>
      <c r="BM54" s="173"/>
      <c r="BN54" s="175"/>
      <c r="BO54" s="250" t="str">
        <f>IFERROR(__xludf.DUMMYFUNCTION("""COMPUTED_VALUE"""),"")</f>
        <v/>
      </c>
      <c r="BP54" s="250" t="str">
        <f t="shared" si="36"/>
        <v/>
      </c>
      <c r="BQ54" s="250" t="str">
        <f>IFERROR(__xludf.DUMMYFUNCTION("""COMPUTED_VALUE"""),"")</f>
        <v/>
      </c>
      <c r="BR54" s="250"/>
      <c r="BS54" s="250" t="str">
        <f t="shared" si="15"/>
        <v/>
      </c>
      <c r="BT54" s="250" t="str">
        <f t="shared" si="37"/>
        <v/>
      </c>
      <c r="BU54" s="253" t="str">
        <f t="shared" si="33"/>
        <v/>
      </c>
      <c r="BV54" s="254" t="b">
        <f t="shared" si="17"/>
        <v>0</v>
      </c>
      <c r="BW54" s="175" t="str">
        <f t="shared" si="38"/>
        <v/>
      </c>
      <c r="BX54" s="44" t="b">
        <f t="shared" si="19"/>
        <v>0</v>
      </c>
      <c r="BY54" s="202" t="b">
        <f t="shared" si="20"/>
        <v>0</v>
      </c>
      <c r="BZ54" s="203">
        <f t="shared" si="25"/>
        <v>0</v>
      </c>
      <c r="CA54" s="175">
        <f t="shared" si="26"/>
        <v>0</v>
      </c>
      <c r="CB54" s="175"/>
      <c r="CC54" s="173"/>
      <c r="CD54" s="173"/>
    </row>
    <row r="55">
      <c r="A55" s="11"/>
      <c r="B55" s="255"/>
      <c r="C55" s="256"/>
      <c r="D55" s="257" t="str">
        <f t="shared" si="27"/>
        <v>Calories</v>
      </c>
      <c r="E55" s="285"/>
      <c r="F55" s="259"/>
      <c r="G55" s="259"/>
      <c r="H55" s="259"/>
      <c r="I55" s="259"/>
      <c r="J55" s="286"/>
      <c r="K55" s="286"/>
      <c r="L55" s="260" t="str">
        <f t="shared" si="6"/>
        <v/>
      </c>
      <c r="M55" s="261"/>
      <c r="N55" s="255"/>
      <c r="O55" s="255"/>
      <c r="P55" s="255"/>
      <c r="Q55" s="255"/>
      <c r="R55" s="255"/>
      <c r="S55" s="255"/>
      <c r="T55" s="231"/>
      <c r="U55" s="255"/>
      <c r="V55" s="233"/>
      <c r="W55" s="262"/>
      <c r="X55" s="262"/>
      <c r="Y55" s="263"/>
      <c r="Z55" s="7"/>
      <c r="AA55" s="7"/>
      <c r="AC55" s="264" t="str">
        <f t="shared" si="8"/>
        <v/>
      </c>
      <c r="AD55" s="212">
        <f t="shared" ref="AD55:AI55" si="65">AC55+1</f>
        <v>1</v>
      </c>
      <c r="AE55" s="212">
        <f t="shared" si="65"/>
        <v>2</v>
      </c>
      <c r="AF55" s="212">
        <f t="shared" si="65"/>
        <v>3</v>
      </c>
      <c r="AG55" s="212">
        <f t="shared" si="65"/>
        <v>4</v>
      </c>
      <c r="AH55" s="212">
        <f t="shared" si="65"/>
        <v>5</v>
      </c>
      <c r="AI55" s="265">
        <f t="shared" si="65"/>
        <v>6</v>
      </c>
      <c r="AJ55" s="266">
        <f>AJ54+0.5</f>
        <v>10.5</v>
      </c>
      <c r="AK55" s="69"/>
      <c r="AL55" s="54">
        <f t="shared" si="10"/>
        <v>0</v>
      </c>
      <c r="AM55" s="183" t="str">
        <f>AM54</f>
        <v/>
      </c>
      <c r="AN55" s="54"/>
      <c r="AO55" s="267"/>
      <c r="AP55" s="242" t="str">
        <f t="shared" si="22"/>
        <v/>
      </c>
      <c r="AQ55" s="242" t="str">
        <f t="shared" ref="AQ55:AV55" si="66">IF(F55="",AP55,F55)</f>
        <v/>
      </c>
      <c r="AR55" s="242" t="str">
        <f t="shared" si="66"/>
        <v/>
      </c>
      <c r="AS55" s="242" t="str">
        <f t="shared" si="66"/>
        <v/>
      </c>
      <c r="AT55" s="242" t="str">
        <f t="shared" si="66"/>
        <v/>
      </c>
      <c r="AU55" s="242" t="str">
        <f t="shared" si="66"/>
        <v/>
      </c>
      <c r="AV55" s="242" t="str">
        <f t="shared" si="66"/>
        <v/>
      </c>
      <c r="AW55" s="268" t="str">
        <f t="shared" si="30"/>
        <v/>
      </c>
      <c r="AX55" s="269"/>
      <c r="AY55" s="270"/>
      <c r="AZ55" s="271"/>
      <c r="BA55" s="246"/>
      <c r="BB55" s="246"/>
      <c r="BC55" s="263"/>
      <c r="BD55" s="66"/>
      <c r="BE55" s="69"/>
      <c r="BF55" s="54"/>
      <c r="BG55" s="54"/>
      <c r="BH55" s="54"/>
      <c r="BI55" s="54"/>
      <c r="BK55" s="173"/>
      <c r="BM55" s="173"/>
      <c r="BN55" s="175"/>
      <c r="BO55" s="250" t="str">
        <f>IFERROR(__xludf.DUMMYFUNCTION("""COMPUTED_VALUE"""),"")</f>
        <v/>
      </c>
      <c r="BP55" s="250" t="str">
        <f t="shared" si="36"/>
        <v/>
      </c>
      <c r="BQ55" s="250" t="str">
        <f>IFERROR(__xludf.DUMMYFUNCTION("""COMPUTED_VALUE"""),"")</f>
        <v/>
      </c>
      <c r="BR55" s="250"/>
      <c r="BS55" s="250" t="str">
        <f t="shared" si="15"/>
        <v/>
      </c>
      <c r="BT55" s="250" t="str">
        <f t="shared" si="37"/>
        <v/>
      </c>
      <c r="BU55" s="253" t="str">
        <f t="shared" si="33"/>
        <v/>
      </c>
      <c r="BV55" s="254" t="b">
        <f t="shared" si="17"/>
        <v>0</v>
      </c>
      <c r="BW55" s="175" t="str">
        <f t="shared" si="38"/>
        <v/>
      </c>
      <c r="BX55" s="44" t="b">
        <f t="shared" si="19"/>
        <v>0</v>
      </c>
      <c r="BY55" s="202" t="b">
        <f t="shared" si="20"/>
        <v>0</v>
      </c>
      <c r="BZ55" s="203">
        <f t="shared" si="25"/>
        <v>0</v>
      </c>
      <c r="CA55" s="175">
        <f t="shared" si="26"/>
        <v>0</v>
      </c>
      <c r="CB55" s="175"/>
      <c r="CC55" s="173"/>
      <c r="CD55" s="173"/>
    </row>
    <row r="56" ht="15.75" customHeight="1">
      <c r="A56" s="11"/>
      <c r="B56" s="221" t="str">
        <f>IF(B54="","",B54+7)</f>
        <v/>
      </c>
      <c r="C56" s="222"/>
      <c r="D56" s="223" t="str">
        <f t="shared" si="27"/>
        <v>Weight</v>
      </c>
      <c r="E56" s="287"/>
      <c r="F56" s="288"/>
      <c r="G56" s="288"/>
      <c r="H56" s="288"/>
      <c r="I56" s="288"/>
      <c r="J56" s="289"/>
      <c r="K56" s="288"/>
      <c r="L56" s="284" t="str">
        <f t="shared" si="6"/>
        <v/>
      </c>
      <c r="M56" s="227"/>
      <c r="N56" s="228"/>
      <c r="O56" s="228"/>
      <c r="P56" s="228"/>
      <c r="Q56" s="276" t="str">
        <f>BL56</f>
        <v/>
      </c>
      <c r="R56" s="228"/>
      <c r="S56" s="230" t="str">
        <f>IFERROR(__xludf.DUMMYFUNCTION("IF(L56="""","""",(L56-index(filter($L$36:L54,$L$36:L54&lt;&gt;"""",ISEVEN(row($L$36:L54))),count(filter($L$36:L54,$L$36:L54&lt;&gt;"""",iseven(row($L$36:L54)))),1)))"),"")</f>
        <v/>
      </c>
      <c r="T56" s="231"/>
      <c r="U56" s="232" t="str">
        <f>if(BD$24=FALSE,"",IF(L56="","",BC56))</f>
        <v/>
      </c>
      <c r="V56" s="233"/>
      <c r="W56" s="234">
        <f>IF(count(S56:S57)&gt;1,1,0)</f>
        <v>0</v>
      </c>
      <c r="X56" s="235" t="str">
        <f>if(Y56="","","Week 11")</f>
        <v/>
      </c>
      <c r="Y56" s="236" t="str">
        <f>IF(S56="","",text(B56,"MMM-YY"))</f>
        <v/>
      </c>
      <c r="Z56" s="173"/>
      <c r="AA56" s="173"/>
      <c r="AC56" s="264" t="str">
        <f t="shared" si="8"/>
        <v/>
      </c>
      <c r="AD56" s="212">
        <f t="shared" ref="AD56:AI56" si="67">AC56+1</f>
        <v>1</v>
      </c>
      <c r="AE56" s="212">
        <f t="shared" si="67"/>
        <v>2</v>
      </c>
      <c r="AF56" s="212">
        <f t="shared" si="67"/>
        <v>3</v>
      </c>
      <c r="AG56" s="212">
        <f t="shared" si="67"/>
        <v>4</v>
      </c>
      <c r="AH56" s="212">
        <f t="shared" si="67"/>
        <v>5</v>
      </c>
      <c r="AI56" s="265">
        <f t="shared" si="67"/>
        <v>6</v>
      </c>
      <c r="AJ56" s="266">
        <f>AJ54+1</f>
        <v>11</v>
      </c>
      <c r="AK56" s="277">
        <v>10.0</v>
      </c>
      <c r="AL56" s="54">
        <f t="shared" si="10"/>
        <v>0</v>
      </c>
      <c r="AM56" s="198" t="str">
        <f>IF(K56="",AM54,K56)</f>
        <v/>
      </c>
      <c r="AN56" s="54"/>
      <c r="AO56" s="241"/>
      <c r="AP56" s="242" t="str">
        <f t="shared" si="22"/>
        <v/>
      </c>
      <c r="AQ56" s="242" t="str">
        <f t="shared" ref="AQ56:AV56" si="68">IF(F56="",AP56,F56)</f>
        <v/>
      </c>
      <c r="AR56" s="242" t="str">
        <f t="shared" si="68"/>
        <v/>
      </c>
      <c r="AS56" s="242" t="str">
        <f t="shared" si="68"/>
        <v/>
      </c>
      <c r="AT56" s="242" t="str">
        <f t="shared" si="68"/>
        <v/>
      </c>
      <c r="AU56" s="242" t="str">
        <f t="shared" si="68"/>
        <v/>
      </c>
      <c r="AV56" s="242" t="str">
        <f t="shared" si="68"/>
        <v/>
      </c>
      <c r="AW56" s="278" t="str">
        <f t="shared" si="30"/>
        <v/>
      </c>
      <c r="AX56" s="244">
        <f>if(AND(AW56=AX$34,$AL56&gt;0),ROW(),0)</f>
        <v>0</v>
      </c>
      <c r="AY56" s="244">
        <f>if(AND(AW56=AY$34,$AL56&gt;0),ROW(),0)</f>
        <v>0</v>
      </c>
      <c r="AZ56" s="279" t="str">
        <f>IF(AW56="","",AW56-AW54)</f>
        <v/>
      </c>
      <c r="BA56" s="246">
        <f>if(BB56&gt;0,row(),0)</f>
        <v>56</v>
      </c>
      <c r="BB56" s="246">
        <f>max(if(E56=AW$30,COLUMN(E56),0),if(F56=AW$30,COLUMN(F56),0),if(G56=AW$30,COLUMN(G56),0),if(H56=AW$30,COLUMN(H56),0),if(I56=AW$30,COLUMN(I56),0),if(J56=AW$30,COLUMN(J56),0),if(K56=AW$30,COLUMN(K56),0))</f>
        <v>11</v>
      </c>
      <c r="BC56" s="247" t="str">
        <f>IF(BD56="","",IF(AZ56="","",BD56))</f>
        <v/>
      </c>
      <c r="BD56" s="248">
        <f>IF(AL56=0,BD54,IF(AL57=0,BD54,((AW57+(((-AZ56)*$BD$7)/AL57)+sum($BE$38:BE54))/AK56)))</f>
        <v>0</v>
      </c>
      <c r="BE56" s="249">
        <f>IF(AL56=0,BE54,IF(AL57=0,BE54,AW57+(((-AZ56)*$BD$7)/AL57)))</f>
        <v>0</v>
      </c>
      <c r="BF56" s="54"/>
      <c r="BG56" s="54"/>
      <c r="BH56" s="54"/>
      <c r="BI56" s="54"/>
      <c r="BJ56" s="173" t="str">
        <f>text(B56,"YYYY MMM")</f>
        <v/>
      </c>
      <c r="BK56" s="173"/>
      <c r="BL56" s="174" t="str">
        <f>if($G$13="Disable","", if($G$9="","",if(and($G$9="Male",count($N56:$O56)&lt;&gt;2),"",
if(and($G$9="Male",count($N56:$O56)=2),round(if($N56="","",
     if($G$14="cm",86.01*log($N56-$O56)-70.041*log($G$15)+30.3,
     if($G$14="inch",86.01*log(($N56-$O56)*2.54)-70.041*log($G$15*2.54)+30.3))),0),                                         
if(and($G$9="Female",count($N56:$P56)&lt;&gt;3),"",
if(and($G$9="Female",count($N56:$P56)=3),round(if($N56="","",
        if($G$14="cm",495/(1.29579-0.35004*log10($N56+$P56-$O56)+0.221 * log10($G$15))-450,
        if($G$14="inch",495/(1.29579-0.35004*log10(($N56+$P56-$O56)*2.54)+0.221 * log10($G$15*2.54))-450))),0)))))))</f>
        <v/>
      </c>
      <c r="BM56" s="173"/>
      <c r="BN56" s="175"/>
      <c r="BO56" s="250" t="str">
        <f>IFERROR(__xludf.DUMMYFUNCTION("""COMPUTED_VALUE"""),"")</f>
        <v/>
      </c>
      <c r="BP56" s="250" t="str">
        <f t="shared" si="36"/>
        <v/>
      </c>
      <c r="BQ56" s="250" t="str">
        <f>IFERROR(__xludf.DUMMYFUNCTION("""COMPUTED_VALUE"""),"")</f>
        <v/>
      </c>
      <c r="BR56" s="250"/>
      <c r="BS56" s="250" t="str">
        <f t="shared" si="15"/>
        <v/>
      </c>
      <c r="BT56" s="250" t="str">
        <f t="shared" si="37"/>
        <v/>
      </c>
      <c r="BU56" s="253" t="str">
        <f t="shared" si="33"/>
        <v/>
      </c>
      <c r="BV56" s="254" t="b">
        <f t="shared" si="17"/>
        <v>0</v>
      </c>
      <c r="BW56" s="175" t="str">
        <f t="shared" si="38"/>
        <v/>
      </c>
      <c r="BX56" s="44" t="b">
        <f t="shared" si="19"/>
        <v>0</v>
      </c>
      <c r="BY56" s="202" t="b">
        <f t="shared" si="20"/>
        <v>0</v>
      </c>
      <c r="BZ56" s="203">
        <f t="shared" si="25"/>
        <v>0</v>
      </c>
      <c r="CA56" s="175">
        <f t="shared" si="26"/>
        <v>0</v>
      </c>
      <c r="CB56" s="175"/>
      <c r="CC56" s="173"/>
      <c r="CD56" s="173"/>
    </row>
    <row r="57" ht="15.75" customHeight="1">
      <c r="A57" s="11"/>
      <c r="B57" s="255"/>
      <c r="C57" s="256"/>
      <c r="D57" s="257" t="str">
        <f t="shared" si="27"/>
        <v>Calories</v>
      </c>
      <c r="E57" s="290"/>
      <c r="F57" s="291"/>
      <c r="G57" s="291"/>
      <c r="H57" s="291"/>
      <c r="I57" s="291"/>
      <c r="J57" s="292"/>
      <c r="K57" s="291"/>
      <c r="L57" s="260" t="str">
        <f t="shared" si="6"/>
        <v/>
      </c>
      <c r="M57" s="261"/>
      <c r="N57" s="255"/>
      <c r="O57" s="255"/>
      <c r="P57" s="255"/>
      <c r="Q57" s="255"/>
      <c r="R57" s="255"/>
      <c r="S57" s="255"/>
      <c r="T57" s="231"/>
      <c r="U57" s="255"/>
      <c r="V57" s="233"/>
      <c r="W57" s="262"/>
      <c r="X57" s="262"/>
      <c r="Y57" s="263"/>
      <c r="Z57" s="173"/>
      <c r="AA57" s="173"/>
      <c r="AC57" s="264" t="str">
        <f t="shared" si="8"/>
        <v/>
      </c>
      <c r="AD57" s="212">
        <f t="shared" ref="AD57:AI57" si="69">AC57+1</f>
        <v>1</v>
      </c>
      <c r="AE57" s="212">
        <f t="shared" si="69"/>
        <v>2</v>
      </c>
      <c r="AF57" s="212">
        <f t="shared" si="69"/>
        <v>3</v>
      </c>
      <c r="AG57" s="212">
        <f t="shared" si="69"/>
        <v>4</v>
      </c>
      <c r="AH57" s="212">
        <f t="shared" si="69"/>
        <v>5</v>
      </c>
      <c r="AI57" s="265">
        <f t="shared" si="69"/>
        <v>6</v>
      </c>
      <c r="AJ57" s="266">
        <f>AJ56+0.5</f>
        <v>11.5</v>
      </c>
      <c r="AK57" s="69"/>
      <c r="AL57" s="54">
        <f t="shared" si="10"/>
        <v>0</v>
      </c>
      <c r="AM57" s="183" t="str">
        <f>AM56</f>
        <v/>
      </c>
      <c r="AN57" s="54"/>
      <c r="AO57" s="267"/>
      <c r="AP57" s="242" t="str">
        <f t="shared" si="22"/>
        <v/>
      </c>
      <c r="AQ57" s="242" t="str">
        <f t="shared" ref="AQ57:AV57" si="70">IF(F57="",AP57,F57)</f>
        <v/>
      </c>
      <c r="AR57" s="242" t="str">
        <f t="shared" si="70"/>
        <v/>
      </c>
      <c r="AS57" s="242" t="str">
        <f t="shared" si="70"/>
        <v/>
      </c>
      <c r="AT57" s="242" t="str">
        <f t="shared" si="70"/>
        <v/>
      </c>
      <c r="AU57" s="242" t="str">
        <f t="shared" si="70"/>
        <v/>
      </c>
      <c r="AV57" s="242" t="str">
        <f t="shared" si="70"/>
        <v/>
      </c>
      <c r="AW57" s="268" t="str">
        <f t="shared" si="30"/>
        <v/>
      </c>
      <c r="AX57" s="269"/>
      <c r="AY57" s="270"/>
      <c r="AZ57" s="271"/>
      <c r="BA57" s="246"/>
      <c r="BB57" s="246"/>
      <c r="BC57" s="263"/>
      <c r="BD57" s="66"/>
      <c r="BE57" s="69"/>
      <c r="BF57" s="54"/>
      <c r="BG57" s="54"/>
      <c r="BH57" s="54"/>
      <c r="BI57" s="54"/>
      <c r="BK57" s="173"/>
      <c r="BM57" s="173"/>
      <c r="BN57" s="175"/>
      <c r="BO57" s="250" t="str">
        <f>IFERROR(__xludf.DUMMYFUNCTION("""COMPUTED_VALUE"""),"")</f>
        <v/>
      </c>
      <c r="BP57" s="250" t="str">
        <f t="shared" si="36"/>
        <v/>
      </c>
      <c r="BQ57" s="250" t="str">
        <f>IFERROR(__xludf.DUMMYFUNCTION("""COMPUTED_VALUE"""),"")</f>
        <v/>
      </c>
      <c r="BR57" s="250"/>
      <c r="BS57" s="250" t="str">
        <f t="shared" si="15"/>
        <v/>
      </c>
      <c r="BT57" s="250" t="str">
        <f t="shared" si="37"/>
        <v/>
      </c>
      <c r="BU57" s="253" t="str">
        <f t="shared" si="33"/>
        <v/>
      </c>
      <c r="BV57" s="254" t="b">
        <f t="shared" si="17"/>
        <v>0</v>
      </c>
      <c r="BW57" s="175" t="str">
        <f t="shared" si="38"/>
        <v/>
      </c>
      <c r="BX57" s="44" t="b">
        <f t="shared" si="19"/>
        <v>0</v>
      </c>
      <c r="BY57" s="202" t="b">
        <f t="shared" si="20"/>
        <v>0</v>
      </c>
      <c r="BZ57" s="203">
        <f t="shared" si="25"/>
        <v>0</v>
      </c>
      <c r="CA57" s="175">
        <f t="shared" si="26"/>
        <v>0</v>
      </c>
      <c r="CB57" s="175"/>
      <c r="CC57" s="173"/>
      <c r="CD57" s="173"/>
    </row>
    <row r="58" ht="15.75" customHeight="1">
      <c r="A58" s="11"/>
      <c r="B58" s="221" t="str">
        <f>IF(B56="","",B56+7)</f>
        <v/>
      </c>
      <c r="C58" s="222"/>
      <c r="D58" s="223" t="str">
        <f t="shared" si="27"/>
        <v>Weight</v>
      </c>
      <c r="E58" s="282"/>
      <c r="F58" s="274"/>
      <c r="G58" s="274"/>
      <c r="H58" s="273"/>
      <c r="I58" s="274"/>
      <c r="J58" s="273"/>
      <c r="K58" s="273"/>
      <c r="L58" s="284" t="str">
        <f t="shared" si="6"/>
        <v/>
      </c>
      <c r="M58" s="227"/>
      <c r="N58" s="228"/>
      <c r="O58" s="228"/>
      <c r="P58" s="228"/>
      <c r="Q58" s="276" t="str">
        <f>BL58</f>
        <v/>
      </c>
      <c r="R58" s="228"/>
      <c r="S58" s="230" t="str">
        <f>IFERROR(__xludf.DUMMYFUNCTION("IF(L58="""","""",(L58-index(filter($L$36:L56,$L$36:L56&lt;&gt;"""",ISEVEN(row($L$36:L56))),count(filter($L$36:L56,$L$36:L56&lt;&gt;"""",iseven(row($L$36:L56)))),1)))"),"")</f>
        <v/>
      </c>
      <c r="T58" s="231"/>
      <c r="U58" s="232" t="str">
        <f>if(BD$24=FALSE,"",IF(L58="","",BC58))</f>
        <v/>
      </c>
      <c r="V58" s="233"/>
      <c r="W58" s="234">
        <f>IF(count(S58:S59)&gt;1,1,0)</f>
        <v>0</v>
      </c>
      <c r="X58" s="235" t="str">
        <f>if(Y58="","","Week 12")</f>
        <v/>
      </c>
      <c r="Y58" s="236" t="str">
        <f>IF(S58="","",text(B58,"MMM-YY"))</f>
        <v/>
      </c>
      <c r="Z58" s="173"/>
      <c r="AA58" s="173"/>
      <c r="AC58" s="264" t="str">
        <f t="shared" si="8"/>
        <v/>
      </c>
      <c r="AD58" s="212">
        <f t="shared" ref="AD58:AI58" si="71">AC58+1</f>
        <v>1</v>
      </c>
      <c r="AE58" s="212">
        <f t="shared" si="71"/>
        <v>2</v>
      </c>
      <c r="AF58" s="212">
        <f t="shared" si="71"/>
        <v>3</v>
      </c>
      <c r="AG58" s="212">
        <f t="shared" si="71"/>
        <v>4</v>
      </c>
      <c r="AH58" s="212">
        <f t="shared" si="71"/>
        <v>5</v>
      </c>
      <c r="AI58" s="265">
        <f t="shared" si="71"/>
        <v>6</v>
      </c>
      <c r="AJ58" s="266">
        <f>AJ56+1</f>
        <v>12</v>
      </c>
      <c r="AK58" s="277">
        <v>11.0</v>
      </c>
      <c r="AL58" s="54">
        <f t="shared" si="10"/>
        <v>0</v>
      </c>
      <c r="AM58" s="198" t="str">
        <f>IF(K58="",AM56,K58)</f>
        <v/>
      </c>
      <c r="AN58" s="54"/>
      <c r="AO58" s="241"/>
      <c r="AP58" s="242" t="str">
        <f t="shared" si="22"/>
        <v/>
      </c>
      <c r="AQ58" s="242" t="str">
        <f t="shared" ref="AQ58:AV58" si="72">IF(F58="",AP58,F58)</f>
        <v/>
      </c>
      <c r="AR58" s="242" t="str">
        <f t="shared" si="72"/>
        <v/>
      </c>
      <c r="AS58" s="242" t="str">
        <f t="shared" si="72"/>
        <v/>
      </c>
      <c r="AT58" s="242" t="str">
        <f t="shared" si="72"/>
        <v/>
      </c>
      <c r="AU58" s="242" t="str">
        <f t="shared" si="72"/>
        <v/>
      </c>
      <c r="AV58" s="242" t="str">
        <f t="shared" si="72"/>
        <v/>
      </c>
      <c r="AW58" s="278" t="str">
        <f t="shared" si="30"/>
        <v/>
      </c>
      <c r="AX58" s="244">
        <f>if(AND(AW58=AX$34,$AL58&gt;0),ROW(),0)</f>
        <v>0</v>
      </c>
      <c r="AY58" s="244">
        <f>if(AND(AW58=AY$34,$AL58&gt;0),ROW(),0)</f>
        <v>0</v>
      </c>
      <c r="AZ58" s="279" t="str">
        <f>IF(AW58="","",AW58-AW56)</f>
        <v/>
      </c>
      <c r="BA58" s="246">
        <f>if(BB58&gt;0,row(),0)</f>
        <v>58</v>
      </c>
      <c r="BB58" s="246">
        <f>max(if(E58=AW$30,COLUMN(E58),0),if(F58=AW$30,COLUMN(F58),0),if(G58=AW$30,COLUMN(G58),0),if(H58=AW$30,COLUMN(H58),0),if(I58=AW$30,COLUMN(I58),0),if(J58=AW$30,COLUMN(J58),0),if(K58=AW$30,COLUMN(K58),0))</f>
        <v>11</v>
      </c>
      <c r="BC58" s="247" t="str">
        <f>IF(BD58="","",IF(AZ58="","",BD58))</f>
        <v/>
      </c>
      <c r="BD58" s="248">
        <f>IF(AL58=0,BD56,IF(AL59=0,BD56,((AW59+(((-AZ58)*$BD$7)/AL59)+sum($BE$38:BE56))/AK58)))</f>
        <v>0</v>
      </c>
      <c r="BE58" s="249">
        <f>IF(AL58=0,BE56,IF(AL59=0,BE56,AW59+(((-AZ58)*$BD$7)/AL59)))</f>
        <v>0</v>
      </c>
      <c r="BF58" s="54"/>
      <c r="BG58" s="54"/>
      <c r="BH58" s="54"/>
      <c r="BI58" s="54"/>
      <c r="BJ58" s="173" t="str">
        <f>text(B58,"YYYY MMM")</f>
        <v/>
      </c>
      <c r="BK58" s="173"/>
      <c r="BL58" s="174" t="str">
        <f>if($G$13="Disable","", if($G$9="","",if(and($G$9="Male",count($N58:$O58)&lt;&gt;2),"",
if(and($G$9="Male",count($N58:$O58)=2),round(if($N58="","",
     if($G$14="cm",86.01*log($N58-$O58)-70.041*log($G$15)+30.3,
     if($G$14="inch",86.01*log(($N58-$O58)*2.54)-70.041*log($G$15*2.54)+30.3))),0),                                         
if(and($G$9="Female",count($N58:$P58)&lt;&gt;3),"",
if(and($G$9="Female",count($N58:$P58)=3),round(if($N58="","",
        if($G$14="cm",495/(1.29579-0.35004*log10($N58+$P58-$O58)+0.221 * log10($G$15))-450,
        if($G$14="inch",495/(1.29579-0.35004*log10(($N58+$P58-$O58)*2.54)+0.221 * log10($G$15*2.54))-450))),0)))))))</f>
        <v/>
      </c>
      <c r="BM58" s="173"/>
      <c r="BN58" s="175"/>
      <c r="BO58" s="250" t="str">
        <f>IFERROR(__xludf.DUMMYFUNCTION("""COMPUTED_VALUE"""),"")</f>
        <v/>
      </c>
      <c r="BP58" s="250" t="str">
        <f t="shared" si="36"/>
        <v/>
      </c>
      <c r="BQ58" s="250" t="str">
        <f>IFERROR(__xludf.DUMMYFUNCTION("""COMPUTED_VALUE"""),"")</f>
        <v/>
      </c>
      <c r="BR58" s="250"/>
      <c r="BS58" s="250" t="str">
        <f t="shared" si="15"/>
        <v/>
      </c>
      <c r="BT58" s="250" t="str">
        <f t="shared" si="37"/>
        <v/>
      </c>
      <c r="BU58" s="253" t="str">
        <f t="shared" si="33"/>
        <v/>
      </c>
      <c r="BV58" s="254" t="b">
        <f t="shared" si="17"/>
        <v>0</v>
      </c>
      <c r="BW58" s="175" t="str">
        <f t="shared" si="38"/>
        <v/>
      </c>
      <c r="BX58" s="44" t="b">
        <f t="shared" si="19"/>
        <v>0</v>
      </c>
      <c r="BY58" s="202" t="b">
        <f t="shared" si="20"/>
        <v>0</v>
      </c>
      <c r="BZ58" s="203">
        <f t="shared" si="25"/>
        <v>0</v>
      </c>
      <c r="CA58" s="175">
        <f t="shared" si="26"/>
        <v>0</v>
      </c>
      <c r="CB58" s="175"/>
      <c r="CC58" s="173"/>
      <c r="CD58" s="173"/>
    </row>
    <row r="59" ht="15.75" customHeight="1">
      <c r="A59" s="11"/>
      <c r="B59" s="255"/>
      <c r="C59" s="256"/>
      <c r="D59" s="257" t="str">
        <f t="shared" si="27"/>
        <v>Calories</v>
      </c>
      <c r="E59" s="285"/>
      <c r="F59" s="259"/>
      <c r="G59" s="280"/>
      <c r="H59" s="280"/>
      <c r="I59" s="259"/>
      <c r="J59" s="280"/>
      <c r="K59" s="280"/>
      <c r="L59" s="260" t="str">
        <f t="shared" si="6"/>
        <v/>
      </c>
      <c r="M59" s="261"/>
      <c r="N59" s="255"/>
      <c r="O59" s="255"/>
      <c r="P59" s="255"/>
      <c r="Q59" s="255"/>
      <c r="R59" s="255"/>
      <c r="S59" s="255"/>
      <c r="T59" s="231"/>
      <c r="U59" s="255"/>
      <c r="V59" s="233"/>
      <c r="W59" s="262"/>
      <c r="X59" s="262"/>
      <c r="Y59" s="263"/>
      <c r="Z59" s="173"/>
      <c r="AA59" s="173"/>
      <c r="AC59" s="264" t="str">
        <f t="shared" si="8"/>
        <v/>
      </c>
      <c r="AD59" s="212">
        <f t="shared" ref="AD59:AI59" si="73">AC59+1</f>
        <v>1</v>
      </c>
      <c r="AE59" s="212">
        <f t="shared" si="73"/>
        <v>2</v>
      </c>
      <c r="AF59" s="212">
        <f t="shared" si="73"/>
        <v>3</v>
      </c>
      <c r="AG59" s="212">
        <f t="shared" si="73"/>
        <v>4</v>
      </c>
      <c r="AH59" s="212">
        <f t="shared" si="73"/>
        <v>5</v>
      </c>
      <c r="AI59" s="265">
        <f t="shared" si="73"/>
        <v>6</v>
      </c>
      <c r="AJ59" s="266">
        <f>AJ58+0.5</f>
        <v>12.5</v>
      </c>
      <c r="AK59" s="69"/>
      <c r="AL59" s="54">
        <f t="shared" si="10"/>
        <v>0</v>
      </c>
      <c r="AM59" s="183" t="str">
        <f>AM58</f>
        <v/>
      </c>
      <c r="AN59" s="54"/>
      <c r="AO59" s="267"/>
      <c r="AP59" s="242" t="str">
        <f t="shared" si="22"/>
        <v/>
      </c>
      <c r="AQ59" s="242" t="str">
        <f t="shared" ref="AQ59:AV59" si="74">IF(F59="",AP59,F59)</f>
        <v/>
      </c>
      <c r="AR59" s="242" t="str">
        <f t="shared" si="74"/>
        <v/>
      </c>
      <c r="AS59" s="242" t="str">
        <f t="shared" si="74"/>
        <v/>
      </c>
      <c r="AT59" s="242" t="str">
        <f t="shared" si="74"/>
        <v/>
      </c>
      <c r="AU59" s="242" t="str">
        <f t="shared" si="74"/>
        <v/>
      </c>
      <c r="AV59" s="242" t="str">
        <f t="shared" si="74"/>
        <v/>
      </c>
      <c r="AW59" s="268" t="str">
        <f t="shared" si="30"/>
        <v/>
      </c>
      <c r="AX59" s="269"/>
      <c r="AY59" s="270"/>
      <c r="AZ59" s="271"/>
      <c r="BA59" s="246"/>
      <c r="BB59" s="246"/>
      <c r="BC59" s="263"/>
      <c r="BD59" s="66"/>
      <c r="BE59" s="69"/>
      <c r="BF59" s="54"/>
      <c r="BG59" s="54"/>
      <c r="BH59" s="54"/>
      <c r="BI59" s="54"/>
      <c r="BK59" s="173"/>
      <c r="BM59" s="173"/>
      <c r="BN59" s="175"/>
      <c r="BO59" s="250" t="str">
        <f>IFERROR(__xludf.DUMMYFUNCTION("""COMPUTED_VALUE"""),"")</f>
        <v/>
      </c>
      <c r="BP59" s="250" t="str">
        <f t="shared" si="36"/>
        <v/>
      </c>
      <c r="BQ59" s="250" t="str">
        <f>IFERROR(__xludf.DUMMYFUNCTION("""COMPUTED_VALUE"""),"")</f>
        <v/>
      </c>
      <c r="BR59" s="250"/>
      <c r="BS59" s="250" t="str">
        <f t="shared" si="15"/>
        <v/>
      </c>
      <c r="BT59" s="250" t="str">
        <f t="shared" si="37"/>
        <v/>
      </c>
      <c r="BU59" s="253" t="str">
        <f t="shared" si="33"/>
        <v/>
      </c>
      <c r="BV59" s="254" t="b">
        <f t="shared" si="17"/>
        <v>0</v>
      </c>
      <c r="BW59" s="175" t="str">
        <f t="shared" si="38"/>
        <v/>
      </c>
      <c r="BX59" s="44" t="b">
        <f t="shared" si="19"/>
        <v>0</v>
      </c>
      <c r="BY59" s="202" t="b">
        <f t="shared" si="20"/>
        <v>0</v>
      </c>
      <c r="BZ59" s="203">
        <f t="shared" si="25"/>
        <v>0</v>
      </c>
      <c r="CA59" s="175">
        <f t="shared" si="26"/>
        <v>0</v>
      </c>
      <c r="CB59" s="175"/>
      <c r="CC59" s="173"/>
      <c r="CD59" s="173"/>
    </row>
    <row r="60" ht="15.75" customHeight="1">
      <c r="A60" s="11"/>
      <c r="B60" s="221" t="str">
        <f>IF(B58="","",B58+7)</f>
        <v/>
      </c>
      <c r="C60" s="222"/>
      <c r="D60" s="223" t="str">
        <f t="shared" si="27"/>
        <v>Weight</v>
      </c>
      <c r="E60" s="272"/>
      <c r="F60" s="274"/>
      <c r="G60" s="273"/>
      <c r="H60" s="273"/>
      <c r="I60" s="274"/>
      <c r="J60" s="274"/>
      <c r="K60" s="274"/>
      <c r="L60" s="284" t="str">
        <f t="shared" si="6"/>
        <v/>
      </c>
      <c r="M60" s="227"/>
      <c r="N60" s="228"/>
      <c r="O60" s="228"/>
      <c r="P60" s="228"/>
      <c r="Q60" s="276" t="str">
        <f>BL60</f>
        <v/>
      </c>
      <c r="R60" s="228"/>
      <c r="S60" s="230" t="str">
        <f>IFERROR(__xludf.DUMMYFUNCTION("IF(L60="""","""",(L60-index(filter($L$36:L58,$L$36:L58&lt;&gt;"""",ISEVEN(row($L$36:L58))),count(filter($L$36:L58,$L$36:L58&lt;&gt;"""",iseven(row($L$36:L58)))),1)))"),"")</f>
        <v/>
      </c>
      <c r="T60" s="231"/>
      <c r="U60" s="232" t="str">
        <f>if(BD$24=FALSE,"",IF(L60="","",BC60))</f>
        <v/>
      </c>
      <c r="V60" s="233"/>
      <c r="W60" s="234">
        <f>IF(count(S60:S61)&gt;1,1,0)</f>
        <v>0</v>
      </c>
      <c r="X60" s="235" t="str">
        <f>if(Y60="","","Week 13")</f>
        <v/>
      </c>
      <c r="Y60" s="236" t="str">
        <f>IF(S60="","",text(B60,"MMM-YY"))</f>
        <v/>
      </c>
      <c r="Z60" s="7"/>
      <c r="AA60" s="7"/>
      <c r="AC60" s="264" t="str">
        <f t="shared" si="8"/>
        <v/>
      </c>
      <c r="AD60" s="212">
        <f t="shared" ref="AD60:AI60" si="75">AC60+1</f>
        <v>1</v>
      </c>
      <c r="AE60" s="212">
        <f t="shared" si="75"/>
        <v>2</v>
      </c>
      <c r="AF60" s="212">
        <f t="shared" si="75"/>
        <v>3</v>
      </c>
      <c r="AG60" s="212">
        <f t="shared" si="75"/>
        <v>4</v>
      </c>
      <c r="AH60" s="212">
        <f t="shared" si="75"/>
        <v>5</v>
      </c>
      <c r="AI60" s="265">
        <f t="shared" si="75"/>
        <v>6</v>
      </c>
      <c r="AJ60" s="266">
        <f>AJ58+1</f>
        <v>13</v>
      </c>
      <c r="AK60" s="277">
        <v>12.0</v>
      </c>
      <c r="AL60" s="54">
        <f t="shared" si="10"/>
        <v>0</v>
      </c>
      <c r="AM60" s="198" t="str">
        <f>IF(K60="",AM58,K60)</f>
        <v/>
      </c>
      <c r="AN60" s="54"/>
      <c r="AO60" s="241"/>
      <c r="AP60" s="242" t="str">
        <f t="shared" si="22"/>
        <v/>
      </c>
      <c r="AQ60" s="242" t="str">
        <f t="shared" ref="AQ60:AV60" si="76">IF(F60="",AP60,F60)</f>
        <v/>
      </c>
      <c r="AR60" s="242" t="str">
        <f t="shared" si="76"/>
        <v/>
      </c>
      <c r="AS60" s="242" t="str">
        <f t="shared" si="76"/>
        <v/>
      </c>
      <c r="AT60" s="242" t="str">
        <f t="shared" si="76"/>
        <v/>
      </c>
      <c r="AU60" s="242" t="str">
        <f t="shared" si="76"/>
        <v/>
      </c>
      <c r="AV60" s="242" t="str">
        <f t="shared" si="76"/>
        <v/>
      </c>
      <c r="AW60" s="278" t="str">
        <f t="shared" si="30"/>
        <v/>
      </c>
      <c r="AX60" s="244">
        <f>if(AND(AW60=AX$34,$AL60&gt;0),ROW(),0)</f>
        <v>0</v>
      </c>
      <c r="AY60" s="244">
        <f>if(AND(AW60=AY$34,$AL60&gt;0),ROW(),0)</f>
        <v>0</v>
      </c>
      <c r="AZ60" s="279" t="str">
        <f>IF(AW60="","",AW60-AW58)</f>
        <v/>
      </c>
      <c r="BA60" s="246">
        <f>if(BB60&gt;0,row(),0)</f>
        <v>60</v>
      </c>
      <c r="BB60" s="246">
        <f>max(if(E60=AW$30,COLUMN(E60),0),if(F60=AW$30,COLUMN(F60),0),if(G60=AW$30,COLUMN(G60),0),if(H60=AW$30,COLUMN(H60),0),if(I60=AW$30,COLUMN(I60),0),if(J60=AW$30,COLUMN(J60),0),if(K60=AW$30,COLUMN(K60),0))</f>
        <v>11</v>
      </c>
      <c r="BC60" s="247" t="str">
        <f>IF(BD60="","",IF(AZ60="","",BD60))</f>
        <v/>
      </c>
      <c r="BD60" s="248">
        <f>IF(AL60=0,BD58,IF(AL61=0,BD58,((AW61+(((-AZ60)*$BD$7)/AL61)+sum($BE$38:BE58))/AK60)))</f>
        <v>0</v>
      </c>
      <c r="BE60" s="249">
        <f>IF(AL60=0,BE58,IF(AL61=0,BE58,AW61+(((-AZ60)*$BD$7)/AL61)))</f>
        <v>0</v>
      </c>
      <c r="BF60" s="54"/>
      <c r="BG60" s="54"/>
      <c r="BH60" s="54"/>
      <c r="BI60" s="54"/>
      <c r="BJ60" s="173" t="str">
        <f>text(B60,"YYYY MMM")</f>
        <v/>
      </c>
      <c r="BK60" s="173"/>
      <c r="BL60" s="174" t="str">
        <f>if($G$13="Disable","", if($G$9="","",if(and($G$9="Male",count($N60:$O60)&lt;&gt;2),"",
if(and($G$9="Male",count($N60:$O60)=2),round(if($N60="","",
     if($G$14="cm",86.01*log($N60-$O60)-70.041*log($G$15)+30.3,
     if($G$14="inch",86.01*log(($N60-$O60)*2.54)-70.041*log($G$15*2.54)+30.3))),0),                                         
if(and($G$9="Female",count($N60:$P60)&lt;&gt;3),"",
if(and($G$9="Female",count($N60:$P60)=3),round(if($N60="","",
        if($G$14="cm",495/(1.29579-0.35004*log10($N60+$P60-$O60)+0.221 * log10($G$15))-450,
        if($G$14="inch",495/(1.29579-0.35004*log10(($N60+$P60-$O60)*2.54)+0.221 * log10($G$15*2.54))-450))),0)))))))</f>
        <v/>
      </c>
      <c r="BM60" s="173"/>
      <c r="BN60" s="175"/>
      <c r="BO60" s="250" t="str">
        <f>IFERROR(__xludf.DUMMYFUNCTION("""COMPUTED_VALUE"""),"")</f>
        <v/>
      </c>
      <c r="BP60" s="250" t="str">
        <f t="shared" si="36"/>
        <v/>
      </c>
      <c r="BQ60" s="250" t="str">
        <f>IFERROR(__xludf.DUMMYFUNCTION("""COMPUTED_VALUE"""),"")</f>
        <v/>
      </c>
      <c r="BR60" s="250"/>
      <c r="BS60" s="250" t="str">
        <f t="shared" si="15"/>
        <v/>
      </c>
      <c r="BT60" s="250" t="str">
        <f t="shared" si="37"/>
        <v/>
      </c>
      <c r="BU60" s="253" t="str">
        <f t="shared" si="33"/>
        <v/>
      </c>
      <c r="BV60" s="254" t="b">
        <f t="shared" si="17"/>
        <v>0</v>
      </c>
      <c r="BW60" s="175" t="str">
        <f t="shared" si="38"/>
        <v/>
      </c>
      <c r="BX60" s="44" t="b">
        <f t="shared" si="19"/>
        <v>0</v>
      </c>
      <c r="BY60" s="202" t="b">
        <f t="shared" si="20"/>
        <v>0</v>
      </c>
      <c r="BZ60" s="203">
        <f t="shared" si="25"/>
        <v>0</v>
      </c>
      <c r="CA60" s="175">
        <f t="shared" si="26"/>
        <v>0</v>
      </c>
      <c r="CB60" s="175"/>
      <c r="CC60" s="173"/>
      <c r="CD60" s="173"/>
    </row>
    <row r="61" ht="15.75" customHeight="1">
      <c r="A61" s="11"/>
      <c r="B61" s="255"/>
      <c r="C61" s="256"/>
      <c r="D61" s="257" t="str">
        <f t="shared" si="27"/>
        <v>Calories</v>
      </c>
      <c r="E61" s="258"/>
      <c r="F61" s="259"/>
      <c r="G61" s="280"/>
      <c r="H61" s="280"/>
      <c r="I61" s="259"/>
      <c r="J61" s="280"/>
      <c r="K61" s="280"/>
      <c r="L61" s="260" t="str">
        <f t="shared" si="6"/>
        <v/>
      </c>
      <c r="M61" s="261"/>
      <c r="N61" s="255"/>
      <c r="O61" s="255"/>
      <c r="P61" s="255"/>
      <c r="Q61" s="255"/>
      <c r="R61" s="255"/>
      <c r="S61" s="255"/>
      <c r="T61" s="231"/>
      <c r="U61" s="255"/>
      <c r="V61" s="233"/>
      <c r="W61" s="262"/>
      <c r="X61" s="262"/>
      <c r="Y61" s="263"/>
      <c r="Z61" s="7"/>
      <c r="AA61" s="7"/>
      <c r="AC61" s="264" t="str">
        <f t="shared" si="8"/>
        <v/>
      </c>
      <c r="AD61" s="212">
        <f t="shared" ref="AD61:AI61" si="77">AC61+1</f>
        <v>1</v>
      </c>
      <c r="AE61" s="212">
        <f t="shared" si="77"/>
        <v>2</v>
      </c>
      <c r="AF61" s="212">
        <f t="shared" si="77"/>
        <v>3</v>
      </c>
      <c r="AG61" s="212">
        <f t="shared" si="77"/>
        <v>4</v>
      </c>
      <c r="AH61" s="212">
        <f t="shared" si="77"/>
        <v>5</v>
      </c>
      <c r="AI61" s="265">
        <f t="shared" si="77"/>
        <v>6</v>
      </c>
      <c r="AJ61" s="266">
        <f>AJ60+0.5</f>
        <v>13.5</v>
      </c>
      <c r="AK61" s="69"/>
      <c r="AL61" s="54">
        <f t="shared" si="10"/>
        <v>0</v>
      </c>
      <c r="AM61" s="183" t="str">
        <f>AM60</f>
        <v/>
      </c>
      <c r="AN61" s="54"/>
      <c r="AO61" s="267"/>
      <c r="AP61" s="242" t="str">
        <f t="shared" si="22"/>
        <v/>
      </c>
      <c r="AQ61" s="242" t="str">
        <f t="shared" ref="AQ61:AV61" si="78">IF(F61="",AP61,F61)</f>
        <v/>
      </c>
      <c r="AR61" s="242" t="str">
        <f t="shared" si="78"/>
        <v/>
      </c>
      <c r="AS61" s="242" t="str">
        <f t="shared" si="78"/>
        <v/>
      </c>
      <c r="AT61" s="242" t="str">
        <f t="shared" si="78"/>
        <v/>
      </c>
      <c r="AU61" s="242" t="str">
        <f t="shared" si="78"/>
        <v/>
      </c>
      <c r="AV61" s="242" t="str">
        <f t="shared" si="78"/>
        <v/>
      </c>
      <c r="AW61" s="268" t="str">
        <f t="shared" si="30"/>
        <v/>
      </c>
      <c r="AX61" s="269"/>
      <c r="AY61" s="270"/>
      <c r="AZ61" s="271"/>
      <c r="BA61" s="246"/>
      <c r="BB61" s="246"/>
      <c r="BC61" s="263"/>
      <c r="BD61" s="66"/>
      <c r="BE61" s="69"/>
      <c r="BF61" s="54"/>
      <c r="BG61" s="54"/>
      <c r="BH61" s="54"/>
      <c r="BI61" s="54"/>
      <c r="BK61" s="173"/>
      <c r="BM61" s="173"/>
      <c r="BN61" s="175"/>
      <c r="BO61" s="250" t="str">
        <f>IFERROR(__xludf.DUMMYFUNCTION("""COMPUTED_VALUE"""),"")</f>
        <v/>
      </c>
      <c r="BP61" s="250" t="str">
        <f t="shared" si="36"/>
        <v/>
      </c>
      <c r="BQ61" s="250" t="str">
        <f>IFERROR(__xludf.DUMMYFUNCTION("""COMPUTED_VALUE"""),"")</f>
        <v/>
      </c>
      <c r="BR61" s="250"/>
      <c r="BS61" s="250" t="str">
        <f t="shared" si="15"/>
        <v/>
      </c>
      <c r="BT61" s="250" t="str">
        <f t="shared" si="37"/>
        <v/>
      </c>
      <c r="BU61" s="253" t="str">
        <f t="shared" si="33"/>
        <v/>
      </c>
      <c r="BV61" s="254" t="b">
        <f t="shared" si="17"/>
        <v>0</v>
      </c>
      <c r="BW61" s="175" t="str">
        <f t="shared" si="38"/>
        <v/>
      </c>
      <c r="BX61" s="44" t="b">
        <f t="shared" si="19"/>
        <v>0</v>
      </c>
      <c r="BY61" s="202" t="b">
        <f t="shared" si="20"/>
        <v>0</v>
      </c>
      <c r="BZ61" s="203">
        <f t="shared" si="25"/>
        <v>0</v>
      </c>
      <c r="CA61" s="175">
        <f t="shared" si="26"/>
        <v>0</v>
      </c>
      <c r="CB61" s="175"/>
      <c r="CC61" s="173"/>
      <c r="CD61" s="173"/>
    </row>
    <row r="62" ht="15.75" customHeight="1">
      <c r="A62" s="11"/>
      <c r="B62" s="221" t="str">
        <f>IF(B60="","",B60+7)</f>
        <v/>
      </c>
      <c r="C62" s="222"/>
      <c r="D62" s="223" t="str">
        <f t="shared" si="27"/>
        <v>Weight</v>
      </c>
      <c r="E62" s="272"/>
      <c r="F62" s="273"/>
      <c r="G62" s="273"/>
      <c r="H62" s="273"/>
      <c r="I62" s="273"/>
      <c r="J62" s="273"/>
      <c r="K62" s="273"/>
      <c r="L62" s="284" t="str">
        <f t="shared" si="6"/>
        <v/>
      </c>
      <c r="M62" s="227"/>
      <c r="N62" s="228"/>
      <c r="O62" s="228"/>
      <c r="P62" s="228"/>
      <c r="Q62" s="276" t="str">
        <f>BL62</f>
        <v/>
      </c>
      <c r="R62" s="228"/>
      <c r="S62" s="230" t="str">
        <f>IFERROR(__xludf.DUMMYFUNCTION("IF(L62="""","""",(L62-index(filter($L$36:L60,$L$36:L60&lt;&gt;"""",ISEVEN(row($L$36:L60))),count(filter($L$36:L60,$L$36:L60&lt;&gt;"""",iseven(row($L$36:L60)))),1)))"),"")</f>
        <v/>
      </c>
      <c r="T62" s="231"/>
      <c r="U62" s="232" t="str">
        <f>if(BD$24=FALSE,"",IF(L62="","",BC62))</f>
        <v/>
      </c>
      <c r="V62" s="233"/>
      <c r="W62" s="234">
        <f>IF(count(S62:S63)&gt;1,1,0)</f>
        <v>0</v>
      </c>
      <c r="X62" s="235" t="str">
        <f>if(Y62="","","Week 14")</f>
        <v/>
      </c>
      <c r="Y62" s="236" t="str">
        <f>IF(S62="","",text(B62,"MMM-YY"))</f>
        <v/>
      </c>
      <c r="Z62" s="7"/>
      <c r="AA62" s="7"/>
      <c r="AC62" s="264" t="str">
        <f t="shared" si="8"/>
        <v/>
      </c>
      <c r="AD62" s="212">
        <f t="shared" ref="AD62:AI62" si="79">AC62+1</f>
        <v>1</v>
      </c>
      <c r="AE62" s="212">
        <f t="shared" si="79"/>
        <v>2</v>
      </c>
      <c r="AF62" s="212">
        <f t="shared" si="79"/>
        <v>3</v>
      </c>
      <c r="AG62" s="212">
        <f t="shared" si="79"/>
        <v>4</v>
      </c>
      <c r="AH62" s="212">
        <f t="shared" si="79"/>
        <v>5</v>
      </c>
      <c r="AI62" s="265">
        <f t="shared" si="79"/>
        <v>6</v>
      </c>
      <c r="AJ62" s="266">
        <f>AJ60+1</f>
        <v>14</v>
      </c>
      <c r="AK62" s="277">
        <v>13.0</v>
      </c>
      <c r="AL62" s="54">
        <f t="shared" si="10"/>
        <v>0</v>
      </c>
      <c r="AM62" s="198" t="str">
        <f>IF(K62="",AM60,K62)</f>
        <v/>
      </c>
      <c r="AN62" s="54"/>
      <c r="AO62" s="241"/>
      <c r="AP62" s="242" t="str">
        <f t="shared" si="22"/>
        <v/>
      </c>
      <c r="AQ62" s="242" t="str">
        <f t="shared" ref="AQ62:AV62" si="80">IF(F62="",AP62,F62)</f>
        <v/>
      </c>
      <c r="AR62" s="242" t="str">
        <f t="shared" si="80"/>
        <v/>
      </c>
      <c r="AS62" s="242" t="str">
        <f t="shared" si="80"/>
        <v/>
      </c>
      <c r="AT62" s="242" t="str">
        <f t="shared" si="80"/>
        <v/>
      </c>
      <c r="AU62" s="242" t="str">
        <f t="shared" si="80"/>
        <v/>
      </c>
      <c r="AV62" s="242" t="str">
        <f t="shared" si="80"/>
        <v/>
      </c>
      <c r="AW62" s="278" t="str">
        <f t="shared" si="30"/>
        <v/>
      </c>
      <c r="AX62" s="244">
        <f>if(AND(AW62=AX$34,$AL62&gt;0),ROW(),0)</f>
        <v>0</v>
      </c>
      <c r="AY62" s="244">
        <f>if(AND(AW62=AY$34,$AL62&gt;0),ROW(),0)</f>
        <v>0</v>
      </c>
      <c r="AZ62" s="279" t="str">
        <f>IF(AW62="","",AW62-AW60)</f>
        <v/>
      </c>
      <c r="BA62" s="246">
        <f>if(BB62&gt;0,row(),0)</f>
        <v>62</v>
      </c>
      <c r="BB62" s="246">
        <f>max(if(E62=AW$30,COLUMN(E62),0),if(F62=AW$30,COLUMN(F62),0),if(G62=AW$30,COLUMN(G62),0),if(H62=AW$30,COLUMN(H62),0),if(I62=AW$30,COLUMN(I62),0),if(J62=AW$30,COLUMN(J62),0),if(K62=AW$30,COLUMN(K62),0))</f>
        <v>11</v>
      </c>
      <c r="BC62" s="247" t="str">
        <f>IF(BD62="","",IF(AZ62="","",BD62))</f>
        <v/>
      </c>
      <c r="BD62" s="248">
        <f>IF(AL62=0,BD60,IF(AL63=0,BD60,((AW63+(((-AZ62)*$BD$7)/AL63)+sum($BE$38:BE60))/AK62)))</f>
        <v>0</v>
      </c>
      <c r="BE62" s="249">
        <f>IF(AL62=0,BE60,IF(AL63=0,BE60,AW63+(((-AZ62)*$BD$7)/AL63)))</f>
        <v>0</v>
      </c>
      <c r="BF62" s="54"/>
      <c r="BG62" s="54"/>
      <c r="BH62" s="54"/>
      <c r="BI62" s="54"/>
      <c r="BJ62" s="173" t="str">
        <f>text(B62,"YYYY MMM")</f>
        <v/>
      </c>
      <c r="BK62" s="173"/>
      <c r="BL62" s="174" t="str">
        <f>if($G$13="Disable","", if($G$9="","",if(and($G$9="Male",count($N62:$O62)&lt;&gt;2),"",
if(and($G$9="Male",count($N62:$O62)=2),round(if($N62="","",
     if($G$14="cm",86.01*log($N62-$O62)-70.041*log($G$15)+30.3,
     if($G$14="inch",86.01*log(($N62-$O62)*2.54)-70.041*log($G$15*2.54)+30.3))),0),                                         
if(and($G$9="Female",count($N62:$P62)&lt;&gt;3),"",
if(and($G$9="Female",count($N62:$P62)=3),round(if($N62="","",
        if($G$14="cm",495/(1.29579-0.35004*log10($N62+$P62-$O62)+0.221 * log10($G$15))-450,
        if($G$14="inch",495/(1.29579-0.35004*log10(($N62+$P62-$O62)*2.54)+0.221 * log10($G$15*2.54))-450))),0)))))))</f>
        <v/>
      </c>
      <c r="BM62" s="173"/>
      <c r="BN62" s="175"/>
      <c r="BO62" s="250" t="str">
        <f>IFERROR(__xludf.DUMMYFUNCTION("""COMPUTED_VALUE"""),"")</f>
        <v/>
      </c>
      <c r="BP62" s="250" t="str">
        <f t="shared" si="36"/>
        <v/>
      </c>
      <c r="BQ62" s="250" t="str">
        <f>IFERROR(__xludf.DUMMYFUNCTION("""COMPUTED_VALUE"""),"")</f>
        <v/>
      </c>
      <c r="BR62" s="250"/>
      <c r="BS62" s="250" t="str">
        <f t="shared" si="15"/>
        <v/>
      </c>
      <c r="BT62" s="250" t="str">
        <f t="shared" si="37"/>
        <v/>
      </c>
      <c r="BU62" s="253" t="str">
        <f t="shared" si="33"/>
        <v/>
      </c>
      <c r="BV62" s="254" t="b">
        <f t="shared" si="17"/>
        <v>0</v>
      </c>
      <c r="BW62" s="175" t="str">
        <f t="shared" si="38"/>
        <v/>
      </c>
      <c r="BX62" s="44" t="b">
        <f t="shared" si="19"/>
        <v>0</v>
      </c>
      <c r="BY62" s="202" t="b">
        <f t="shared" si="20"/>
        <v>0</v>
      </c>
      <c r="BZ62" s="203">
        <f t="shared" si="25"/>
        <v>0</v>
      </c>
      <c r="CA62" s="175">
        <f t="shared" si="26"/>
        <v>0</v>
      </c>
      <c r="CB62" s="175"/>
      <c r="CC62" s="173"/>
      <c r="CD62" s="173"/>
    </row>
    <row r="63" ht="15.75" customHeight="1">
      <c r="A63" s="11"/>
      <c r="B63" s="255"/>
      <c r="C63" s="256"/>
      <c r="D63" s="257" t="str">
        <f t="shared" si="27"/>
        <v>Calories</v>
      </c>
      <c r="E63" s="258"/>
      <c r="F63" s="280"/>
      <c r="G63" s="280"/>
      <c r="H63" s="280"/>
      <c r="I63" s="280"/>
      <c r="J63" s="280"/>
      <c r="K63" s="280"/>
      <c r="L63" s="260" t="str">
        <f t="shared" si="6"/>
        <v/>
      </c>
      <c r="M63" s="261"/>
      <c r="N63" s="255"/>
      <c r="O63" s="255"/>
      <c r="P63" s="255"/>
      <c r="Q63" s="255"/>
      <c r="R63" s="255"/>
      <c r="S63" s="255"/>
      <c r="T63" s="231"/>
      <c r="U63" s="255"/>
      <c r="V63" s="233"/>
      <c r="W63" s="262"/>
      <c r="X63" s="262"/>
      <c r="Y63" s="263"/>
      <c r="Z63" s="7"/>
      <c r="AA63" s="7"/>
      <c r="AC63" s="264" t="str">
        <f t="shared" si="8"/>
        <v/>
      </c>
      <c r="AD63" s="212">
        <f t="shared" ref="AD63:AI63" si="81">AC63+1</f>
        <v>1</v>
      </c>
      <c r="AE63" s="212">
        <f t="shared" si="81"/>
        <v>2</v>
      </c>
      <c r="AF63" s="212">
        <f t="shared" si="81"/>
        <v>3</v>
      </c>
      <c r="AG63" s="212">
        <f t="shared" si="81"/>
        <v>4</v>
      </c>
      <c r="AH63" s="212">
        <f t="shared" si="81"/>
        <v>5</v>
      </c>
      <c r="AI63" s="265">
        <f t="shared" si="81"/>
        <v>6</v>
      </c>
      <c r="AJ63" s="266">
        <f>AJ62+0.5</f>
        <v>14.5</v>
      </c>
      <c r="AK63" s="69"/>
      <c r="AL63" s="54">
        <f t="shared" si="10"/>
        <v>0</v>
      </c>
      <c r="AM63" s="183" t="str">
        <f>AM62</f>
        <v/>
      </c>
      <c r="AN63" s="54"/>
      <c r="AO63" s="267"/>
      <c r="AP63" s="242" t="str">
        <f t="shared" si="22"/>
        <v/>
      </c>
      <c r="AQ63" s="242" t="str">
        <f t="shared" ref="AQ63:AV63" si="82">IF(F63="",AP63,F63)</f>
        <v/>
      </c>
      <c r="AR63" s="242" t="str">
        <f t="shared" si="82"/>
        <v/>
      </c>
      <c r="AS63" s="242" t="str">
        <f t="shared" si="82"/>
        <v/>
      </c>
      <c r="AT63" s="242" t="str">
        <f t="shared" si="82"/>
        <v/>
      </c>
      <c r="AU63" s="242" t="str">
        <f t="shared" si="82"/>
        <v/>
      </c>
      <c r="AV63" s="242" t="str">
        <f t="shared" si="82"/>
        <v/>
      </c>
      <c r="AW63" s="268" t="str">
        <f t="shared" si="30"/>
        <v/>
      </c>
      <c r="AX63" s="269"/>
      <c r="AY63" s="270"/>
      <c r="AZ63" s="271"/>
      <c r="BA63" s="246"/>
      <c r="BB63" s="246"/>
      <c r="BC63" s="263"/>
      <c r="BD63" s="66"/>
      <c r="BE63" s="69"/>
      <c r="BF63" s="54"/>
      <c r="BG63" s="54"/>
      <c r="BH63" s="54"/>
      <c r="BI63" s="54"/>
      <c r="BK63" s="173"/>
      <c r="BM63" s="173"/>
      <c r="BN63" s="175"/>
      <c r="BO63" s="250" t="str">
        <f>IFERROR(__xludf.DUMMYFUNCTION("""COMPUTED_VALUE"""),"")</f>
        <v/>
      </c>
      <c r="BP63" s="250" t="str">
        <f t="shared" si="36"/>
        <v/>
      </c>
      <c r="BQ63" s="250" t="str">
        <f>IFERROR(__xludf.DUMMYFUNCTION("""COMPUTED_VALUE"""),"")</f>
        <v/>
      </c>
      <c r="BR63" s="250"/>
      <c r="BS63" s="250" t="str">
        <f t="shared" si="15"/>
        <v/>
      </c>
      <c r="BT63" s="250" t="str">
        <f t="shared" si="37"/>
        <v/>
      </c>
      <c r="BU63" s="253" t="str">
        <f t="shared" si="33"/>
        <v/>
      </c>
      <c r="BV63" s="254" t="b">
        <f t="shared" si="17"/>
        <v>0</v>
      </c>
      <c r="BW63" s="175" t="str">
        <f t="shared" si="38"/>
        <v/>
      </c>
      <c r="BX63" s="44" t="b">
        <f t="shared" si="19"/>
        <v>0</v>
      </c>
      <c r="BY63" s="202" t="b">
        <f t="shared" si="20"/>
        <v>0</v>
      </c>
      <c r="BZ63" s="203">
        <f t="shared" si="25"/>
        <v>0</v>
      </c>
      <c r="CA63" s="175">
        <f t="shared" si="26"/>
        <v>0</v>
      </c>
      <c r="CB63" s="175"/>
      <c r="CC63" s="173"/>
      <c r="CD63" s="173"/>
    </row>
    <row r="64">
      <c r="A64" s="11"/>
      <c r="B64" s="221" t="str">
        <f>IF(B62="","",B62+7)</f>
        <v/>
      </c>
      <c r="C64" s="222"/>
      <c r="D64" s="223" t="str">
        <f t="shared" si="27"/>
        <v>Weight</v>
      </c>
      <c r="E64" s="272"/>
      <c r="F64" s="273"/>
      <c r="G64" s="273"/>
      <c r="H64" s="273"/>
      <c r="I64" s="273"/>
      <c r="J64" s="273"/>
      <c r="K64" s="273"/>
      <c r="L64" s="284" t="str">
        <f t="shared" si="6"/>
        <v/>
      </c>
      <c r="M64" s="227"/>
      <c r="N64" s="228"/>
      <c r="O64" s="228"/>
      <c r="P64" s="228"/>
      <c r="Q64" s="276" t="str">
        <f>BL64</f>
        <v/>
      </c>
      <c r="R64" s="228"/>
      <c r="S64" s="230" t="str">
        <f>IFERROR(__xludf.DUMMYFUNCTION("IF(L64="""","""",(L64-index(filter($L$36:L62,$L$36:L62&lt;&gt;"""",ISEVEN(row($L$36:L62))),count(filter($L$36:L62,$L$36:L62&lt;&gt;"""",iseven(row($L$36:L62)))),1)))"),"")</f>
        <v/>
      </c>
      <c r="T64" s="231"/>
      <c r="U64" s="232" t="str">
        <f>if(BD$24=FALSE,"",IF(L64="","",BC64))</f>
        <v/>
      </c>
      <c r="V64" s="233"/>
      <c r="W64" s="234">
        <f>IF(count(S64:S65)&gt;1,1,0)</f>
        <v>0</v>
      </c>
      <c r="X64" s="235" t="str">
        <f>if(Y64="","","Week 15")</f>
        <v/>
      </c>
      <c r="Y64" s="236" t="str">
        <f>IF(S64="","",text(B64,"MMM-YY"))</f>
        <v/>
      </c>
      <c r="Z64" s="7"/>
      <c r="AA64" s="7"/>
      <c r="AC64" s="264" t="str">
        <f t="shared" si="8"/>
        <v/>
      </c>
      <c r="AD64" s="212">
        <f t="shared" ref="AD64:AI64" si="83">AC64+1</f>
        <v>1</v>
      </c>
      <c r="AE64" s="212">
        <f t="shared" si="83"/>
        <v>2</v>
      </c>
      <c r="AF64" s="212">
        <f t="shared" si="83"/>
        <v>3</v>
      </c>
      <c r="AG64" s="212">
        <f t="shared" si="83"/>
        <v>4</v>
      </c>
      <c r="AH64" s="212">
        <f t="shared" si="83"/>
        <v>5</v>
      </c>
      <c r="AI64" s="265">
        <f t="shared" si="83"/>
        <v>6</v>
      </c>
      <c r="AJ64" s="266">
        <f>AJ62+1</f>
        <v>15</v>
      </c>
      <c r="AK64" s="277">
        <v>14.0</v>
      </c>
      <c r="AL64" s="54">
        <f t="shared" si="10"/>
        <v>0</v>
      </c>
      <c r="AM64" s="198" t="str">
        <f>IF(K64="",AM62,K64)</f>
        <v/>
      </c>
      <c r="AN64" s="54"/>
      <c r="AO64" s="241"/>
      <c r="AP64" s="242" t="str">
        <f t="shared" si="22"/>
        <v/>
      </c>
      <c r="AQ64" s="242" t="str">
        <f t="shared" ref="AQ64:AV64" si="84">IF(F64="",AP64,F64)</f>
        <v/>
      </c>
      <c r="AR64" s="242" t="str">
        <f t="shared" si="84"/>
        <v/>
      </c>
      <c r="AS64" s="242" t="str">
        <f t="shared" si="84"/>
        <v/>
      </c>
      <c r="AT64" s="242" t="str">
        <f t="shared" si="84"/>
        <v/>
      </c>
      <c r="AU64" s="242" t="str">
        <f t="shared" si="84"/>
        <v/>
      </c>
      <c r="AV64" s="242" t="str">
        <f t="shared" si="84"/>
        <v/>
      </c>
      <c r="AW64" s="278" t="str">
        <f t="shared" si="30"/>
        <v/>
      </c>
      <c r="AX64" s="244">
        <f>if(AND(AW64=AX$34,$AL64&gt;0),ROW(),0)</f>
        <v>0</v>
      </c>
      <c r="AY64" s="244">
        <f>if(AND(AW64=AY$34,$AL64&gt;0),ROW(),0)</f>
        <v>0</v>
      </c>
      <c r="AZ64" s="279" t="str">
        <f>IF(AW64="","",AW64-AW62)</f>
        <v/>
      </c>
      <c r="BA64" s="246">
        <f>if(BB64&gt;0,row(),0)</f>
        <v>64</v>
      </c>
      <c r="BB64" s="246">
        <f>max(if(E64=AW$30,COLUMN(E64),0),if(F64=AW$30,COLUMN(F64),0),if(G64=AW$30,COLUMN(G64),0),if(H64=AW$30,COLUMN(H64),0),if(I64=AW$30,COLUMN(I64),0),if(J64=AW$30,COLUMN(J64),0),if(K64=AW$30,COLUMN(K64),0))</f>
        <v>11</v>
      </c>
      <c r="BC64" s="247" t="str">
        <f>IF(BD64="","",IF(AZ64="","",BD64))</f>
        <v/>
      </c>
      <c r="BD64" s="248">
        <f>IF(AL64=0,BD62,IF(AL65=0,BD62,((AW65+(((-AZ64)*$BD$7)/AL65)+sum($BE$38:BE62))/AK64)))</f>
        <v>0</v>
      </c>
      <c r="BE64" s="249">
        <f>IF(AL64=0,BE62,IF(AL65=0,BE62,AW65+(((-AZ64)*$BD$7)/AL65)))</f>
        <v>0</v>
      </c>
      <c r="BF64" s="54"/>
      <c r="BG64" s="54"/>
      <c r="BH64" s="54"/>
      <c r="BI64" s="54"/>
      <c r="BJ64" s="173" t="str">
        <f>text(B64,"YYYY MMM")</f>
        <v/>
      </c>
      <c r="BK64" s="173"/>
      <c r="BL64" s="174" t="str">
        <f>if($G$13="Disable","", if($G$9="","",if(and($G$9="Male",count($N64:$O64)&lt;&gt;2),"",
if(and($G$9="Male",count($N64:$O64)=2),round(if($N64="","",
     if($G$14="cm",86.01*log($N64-$O64)-70.041*log($G$15)+30.3,
     if($G$14="inch",86.01*log(($N64-$O64)*2.54)-70.041*log($G$15*2.54)+30.3))),0),                                         
if(and($G$9="Female",count($N64:$P64)&lt;&gt;3),"",
if(and($G$9="Female",count($N64:$P64)=3),round(if($N64="","",
        if($G$14="cm",495/(1.29579-0.35004*log10($N64+$P64-$O64)+0.221 * log10($G$15))-450,
        if($G$14="inch",495/(1.29579-0.35004*log10(($N64+$P64-$O64)*2.54)+0.221 * log10($G$15*2.54))-450))),0)))))))</f>
        <v/>
      </c>
      <c r="BM64" s="173"/>
      <c r="BN64" s="175"/>
      <c r="BO64" s="250" t="str">
        <f>IFERROR(__xludf.DUMMYFUNCTION("""COMPUTED_VALUE"""),"")</f>
        <v/>
      </c>
      <c r="BP64" s="250" t="str">
        <f t="shared" si="36"/>
        <v/>
      </c>
      <c r="BQ64" s="250" t="str">
        <f>IFERROR(__xludf.DUMMYFUNCTION("""COMPUTED_VALUE"""),"")</f>
        <v/>
      </c>
      <c r="BR64" s="250"/>
      <c r="BS64" s="250" t="str">
        <f t="shared" si="15"/>
        <v/>
      </c>
      <c r="BT64" s="250" t="str">
        <f t="shared" si="37"/>
        <v/>
      </c>
      <c r="BU64" s="253" t="str">
        <f t="shared" si="33"/>
        <v/>
      </c>
      <c r="BV64" s="254" t="b">
        <f t="shared" si="17"/>
        <v>0</v>
      </c>
      <c r="BW64" s="175" t="str">
        <f t="shared" si="38"/>
        <v/>
      </c>
      <c r="BX64" s="44" t="b">
        <f t="shared" si="19"/>
        <v>0</v>
      </c>
      <c r="BY64" s="202" t="b">
        <f t="shared" si="20"/>
        <v>0</v>
      </c>
      <c r="BZ64" s="203">
        <f t="shared" si="25"/>
        <v>0</v>
      </c>
      <c r="CA64" s="175">
        <f t="shared" si="26"/>
        <v>0</v>
      </c>
      <c r="CB64" s="175"/>
      <c r="CC64" s="173"/>
      <c r="CD64" s="173"/>
    </row>
    <row r="65">
      <c r="A65" s="11"/>
      <c r="B65" s="255"/>
      <c r="C65" s="256"/>
      <c r="D65" s="257" t="str">
        <f t="shared" si="27"/>
        <v>Calories</v>
      </c>
      <c r="E65" s="258"/>
      <c r="F65" s="280"/>
      <c r="G65" s="280"/>
      <c r="H65" s="280"/>
      <c r="I65" s="280"/>
      <c r="J65" s="280"/>
      <c r="K65" s="280"/>
      <c r="L65" s="260" t="str">
        <f t="shared" si="6"/>
        <v/>
      </c>
      <c r="M65" s="261"/>
      <c r="N65" s="255"/>
      <c r="O65" s="255"/>
      <c r="P65" s="255"/>
      <c r="Q65" s="255"/>
      <c r="R65" s="255"/>
      <c r="S65" s="255"/>
      <c r="T65" s="231"/>
      <c r="U65" s="255"/>
      <c r="V65" s="233"/>
      <c r="W65" s="262"/>
      <c r="X65" s="262"/>
      <c r="Y65" s="263"/>
      <c r="Z65" s="7"/>
      <c r="AA65" s="7"/>
      <c r="AC65" s="264" t="str">
        <f t="shared" si="8"/>
        <v/>
      </c>
      <c r="AD65" s="212">
        <f t="shared" ref="AD65:AI65" si="85">AC65+1</f>
        <v>1</v>
      </c>
      <c r="AE65" s="212">
        <f t="shared" si="85"/>
        <v>2</v>
      </c>
      <c r="AF65" s="212">
        <f t="shared" si="85"/>
        <v>3</v>
      </c>
      <c r="AG65" s="212">
        <f t="shared" si="85"/>
        <v>4</v>
      </c>
      <c r="AH65" s="212">
        <f t="shared" si="85"/>
        <v>5</v>
      </c>
      <c r="AI65" s="265">
        <f t="shared" si="85"/>
        <v>6</v>
      </c>
      <c r="AJ65" s="266">
        <f>AJ64+0.5</f>
        <v>15.5</v>
      </c>
      <c r="AK65" s="69"/>
      <c r="AL65" s="54">
        <f t="shared" si="10"/>
        <v>0</v>
      </c>
      <c r="AM65" s="183" t="str">
        <f>AM64</f>
        <v/>
      </c>
      <c r="AN65" s="54"/>
      <c r="AO65" s="267"/>
      <c r="AP65" s="242" t="str">
        <f t="shared" si="22"/>
        <v/>
      </c>
      <c r="AQ65" s="242" t="str">
        <f t="shared" ref="AQ65:AV65" si="86">IF(F65="",AP65,F65)</f>
        <v/>
      </c>
      <c r="AR65" s="242" t="str">
        <f t="shared" si="86"/>
        <v/>
      </c>
      <c r="AS65" s="242" t="str">
        <f t="shared" si="86"/>
        <v/>
      </c>
      <c r="AT65" s="242" t="str">
        <f t="shared" si="86"/>
        <v/>
      </c>
      <c r="AU65" s="242" t="str">
        <f t="shared" si="86"/>
        <v/>
      </c>
      <c r="AV65" s="242" t="str">
        <f t="shared" si="86"/>
        <v/>
      </c>
      <c r="AW65" s="268" t="str">
        <f t="shared" si="30"/>
        <v/>
      </c>
      <c r="AX65" s="269"/>
      <c r="AY65" s="270"/>
      <c r="AZ65" s="271"/>
      <c r="BA65" s="246"/>
      <c r="BB65" s="246"/>
      <c r="BC65" s="263"/>
      <c r="BD65" s="66"/>
      <c r="BE65" s="69"/>
      <c r="BF65" s="54"/>
      <c r="BG65" s="54"/>
      <c r="BH65" s="54"/>
      <c r="BI65" s="54"/>
      <c r="BK65" s="173"/>
      <c r="BM65" s="173"/>
      <c r="BN65" s="175"/>
      <c r="BO65" s="250" t="str">
        <f>IFERROR(__xludf.DUMMYFUNCTION("""COMPUTED_VALUE"""),"")</f>
        <v/>
      </c>
      <c r="BP65" s="250" t="str">
        <f t="shared" si="36"/>
        <v/>
      </c>
      <c r="BQ65" s="250" t="str">
        <f>IFERROR(__xludf.DUMMYFUNCTION("""COMPUTED_VALUE"""),"")</f>
        <v/>
      </c>
      <c r="BR65" s="250"/>
      <c r="BS65" s="250" t="str">
        <f t="shared" si="15"/>
        <v/>
      </c>
      <c r="BT65" s="250" t="str">
        <f t="shared" si="37"/>
        <v/>
      </c>
      <c r="BU65" s="253" t="str">
        <f t="shared" si="33"/>
        <v/>
      </c>
      <c r="BV65" s="254" t="b">
        <f t="shared" si="17"/>
        <v>0</v>
      </c>
      <c r="BW65" s="175" t="str">
        <f t="shared" si="38"/>
        <v/>
      </c>
      <c r="BX65" s="44" t="b">
        <f t="shared" si="19"/>
        <v>0</v>
      </c>
      <c r="BY65" s="202" t="b">
        <f t="shared" si="20"/>
        <v>0</v>
      </c>
      <c r="BZ65" s="203">
        <f t="shared" si="25"/>
        <v>0</v>
      </c>
      <c r="CA65" s="175">
        <f t="shared" si="26"/>
        <v>0</v>
      </c>
      <c r="CB65" s="175"/>
      <c r="CC65" s="173"/>
      <c r="CD65" s="173"/>
    </row>
    <row r="66" ht="15.75" customHeight="1">
      <c r="A66" s="11"/>
      <c r="B66" s="221" t="str">
        <f>IF(B64="","",B64+7)</f>
        <v/>
      </c>
      <c r="C66" s="222"/>
      <c r="D66" s="223" t="str">
        <f t="shared" si="27"/>
        <v>Weight</v>
      </c>
      <c r="E66" s="272"/>
      <c r="F66" s="272"/>
      <c r="G66" s="272"/>
      <c r="H66" s="272"/>
      <c r="I66" s="272"/>
      <c r="J66" s="272"/>
      <c r="K66" s="272"/>
      <c r="L66" s="284" t="str">
        <f t="shared" si="6"/>
        <v/>
      </c>
      <c r="M66" s="227"/>
      <c r="N66" s="228"/>
      <c r="O66" s="228"/>
      <c r="P66" s="228"/>
      <c r="Q66" s="276" t="str">
        <f>BL66</f>
        <v/>
      </c>
      <c r="R66" s="228"/>
      <c r="S66" s="230" t="str">
        <f>IFERROR(__xludf.DUMMYFUNCTION("IF(L66="""","""",(L66-index(filter($L$36:L64,$L$36:L64&lt;&gt;"""",ISEVEN(row($L$36:L64))),count(filter($L$36:L64,$L$36:L64&lt;&gt;"""",iseven(row($L$36:L64)))),1)))"),"")</f>
        <v/>
      </c>
      <c r="T66" s="231"/>
      <c r="U66" s="232" t="str">
        <f>if(BD$24=FALSE,"",IF(L66="","",BC66))</f>
        <v/>
      </c>
      <c r="V66" s="233"/>
      <c r="W66" s="234">
        <f>IF(count(S66:S67)&gt;1,1,0)</f>
        <v>0</v>
      </c>
      <c r="X66" s="235" t="str">
        <f>if(Y66="","","Week 16")</f>
        <v/>
      </c>
      <c r="Y66" s="236" t="str">
        <f>IF(S66="","",text(B66,"MMM-YY"))</f>
        <v/>
      </c>
      <c r="Z66" s="173"/>
      <c r="AA66" s="173"/>
      <c r="AC66" s="264" t="str">
        <f t="shared" si="8"/>
        <v/>
      </c>
      <c r="AD66" s="212">
        <f t="shared" ref="AD66:AI66" si="87">AC66+1</f>
        <v>1</v>
      </c>
      <c r="AE66" s="212">
        <f t="shared" si="87"/>
        <v>2</v>
      </c>
      <c r="AF66" s="212">
        <f t="shared" si="87"/>
        <v>3</v>
      </c>
      <c r="AG66" s="212">
        <f t="shared" si="87"/>
        <v>4</v>
      </c>
      <c r="AH66" s="212">
        <f t="shared" si="87"/>
        <v>5</v>
      </c>
      <c r="AI66" s="265">
        <f t="shared" si="87"/>
        <v>6</v>
      </c>
      <c r="AJ66" s="266">
        <f>AJ64+1</f>
        <v>16</v>
      </c>
      <c r="AK66" s="277">
        <v>15.0</v>
      </c>
      <c r="AL66" s="54">
        <f t="shared" si="10"/>
        <v>0</v>
      </c>
      <c r="AM66" s="198" t="str">
        <f>IF(K66="",AM64,K66)</f>
        <v/>
      </c>
      <c r="AN66" s="54"/>
      <c r="AO66" s="241"/>
      <c r="AP66" s="242" t="str">
        <f t="shared" si="22"/>
        <v/>
      </c>
      <c r="AQ66" s="242" t="str">
        <f t="shared" ref="AQ66:AV66" si="88">IF(F66="",AP66,F66)</f>
        <v/>
      </c>
      <c r="AR66" s="242" t="str">
        <f t="shared" si="88"/>
        <v/>
      </c>
      <c r="AS66" s="242" t="str">
        <f t="shared" si="88"/>
        <v/>
      </c>
      <c r="AT66" s="242" t="str">
        <f t="shared" si="88"/>
        <v/>
      </c>
      <c r="AU66" s="242" t="str">
        <f t="shared" si="88"/>
        <v/>
      </c>
      <c r="AV66" s="242" t="str">
        <f t="shared" si="88"/>
        <v/>
      </c>
      <c r="AW66" s="278" t="str">
        <f t="shared" si="30"/>
        <v/>
      </c>
      <c r="AX66" s="244">
        <f>if(AND(AW66=AX$34,$AL66&gt;0),ROW(),0)</f>
        <v>0</v>
      </c>
      <c r="AY66" s="244">
        <f>if(AND(AW66=AY$34,$AL66&gt;0),ROW(),0)</f>
        <v>0</v>
      </c>
      <c r="AZ66" s="279" t="str">
        <f>IF(AW66="","",AW66-AW64)</f>
        <v/>
      </c>
      <c r="BA66" s="246">
        <f>if(BB66&gt;0,row(),0)</f>
        <v>66</v>
      </c>
      <c r="BB66" s="246">
        <f>max(if(E66=AW$30,COLUMN(E66),0),if(F66=AW$30,COLUMN(F66),0),if(G66=AW$30,COLUMN(G66),0),if(H66=AW$30,COLUMN(H66),0),if(I66=AW$30,COLUMN(I66),0),if(J66=AW$30,COLUMN(J66),0),if(K66=AW$30,COLUMN(K66),0))</f>
        <v>11</v>
      </c>
      <c r="BC66" s="247" t="str">
        <f>IF(BD66="","",IF(AZ66="","",BD66))</f>
        <v/>
      </c>
      <c r="BD66" s="248">
        <f>IF(AL66=0,BD64,IF(AL67=0,BD64,((AW67+(((-AZ66)*$BD$7)/AL67)+sum($BE$38:BE64))/AK66)))</f>
        <v>0</v>
      </c>
      <c r="BE66" s="249">
        <f>IF(AL66=0,BE64,IF(AL67=0,BE64,AW67+(((-AZ66)*$BD$7)/AL67)))</f>
        <v>0</v>
      </c>
      <c r="BF66" s="54"/>
      <c r="BG66" s="54"/>
      <c r="BH66" s="54"/>
      <c r="BI66" s="54"/>
      <c r="BJ66" s="173" t="str">
        <f>text(B66,"YYYY MMM")</f>
        <v/>
      </c>
      <c r="BK66" s="173"/>
      <c r="BL66" s="174" t="str">
        <f>if($G$13="Disable","", if($G$9="","",if(and($G$9="Male",count($N66:$O66)&lt;&gt;2),"",
if(and($G$9="Male",count($N66:$O66)=2),round(if($N66="","",
     if($G$14="cm",86.01*log($N66-$O66)-70.041*log($G$15)+30.3,
     if($G$14="inch",86.01*log(($N66-$O66)*2.54)-70.041*log($G$15*2.54)+30.3))),0),                                         
if(and($G$9="Female",count($N66:$P66)&lt;&gt;3),"",
if(and($G$9="Female",count($N66:$P66)=3),round(if($N66="","",
        if($G$14="cm",495/(1.29579-0.35004*log10($N66+$P66-$O66)+0.221 * log10($G$15))-450,
        if($G$14="inch",495/(1.29579-0.35004*log10(($N66+$P66-$O66)*2.54)+0.221 * log10($G$15*2.54))-450))),0)))))))</f>
        <v/>
      </c>
      <c r="BM66" s="173"/>
      <c r="BN66" s="175"/>
      <c r="BO66" s="250" t="str">
        <f>IFERROR(__xludf.DUMMYFUNCTION("""COMPUTED_VALUE"""),"")</f>
        <v/>
      </c>
      <c r="BP66" s="250" t="str">
        <f t="shared" si="36"/>
        <v/>
      </c>
      <c r="BQ66" s="250" t="str">
        <f>IFERROR(__xludf.DUMMYFUNCTION("""COMPUTED_VALUE"""),"")</f>
        <v/>
      </c>
      <c r="BR66" s="250"/>
      <c r="BS66" s="250" t="str">
        <f t="shared" si="15"/>
        <v/>
      </c>
      <c r="BT66" s="250" t="str">
        <f t="shared" si="37"/>
        <v/>
      </c>
      <c r="BU66" s="253" t="str">
        <f t="shared" si="33"/>
        <v/>
      </c>
      <c r="BV66" s="254" t="b">
        <f t="shared" si="17"/>
        <v>0</v>
      </c>
      <c r="BW66" s="175" t="str">
        <f t="shared" si="38"/>
        <v/>
      </c>
      <c r="BX66" s="44" t="b">
        <f t="shared" si="19"/>
        <v>0</v>
      </c>
      <c r="BY66" s="202" t="b">
        <f t="shared" si="20"/>
        <v>0</v>
      </c>
      <c r="BZ66" s="203">
        <f t="shared" si="25"/>
        <v>0</v>
      </c>
      <c r="CA66" s="175">
        <f t="shared" si="26"/>
        <v>0</v>
      </c>
      <c r="CB66" s="175"/>
      <c r="CC66" s="173"/>
      <c r="CD66" s="173"/>
    </row>
    <row r="67" ht="15.75" customHeight="1">
      <c r="A67" s="11"/>
      <c r="B67" s="255"/>
      <c r="C67" s="256"/>
      <c r="D67" s="257" t="str">
        <f t="shared" si="27"/>
        <v>Calories</v>
      </c>
      <c r="E67" s="258"/>
      <c r="F67" s="280"/>
      <c r="G67" s="280"/>
      <c r="H67" s="280"/>
      <c r="I67" s="280"/>
      <c r="J67" s="280"/>
      <c r="K67" s="280"/>
      <c r="L67" s="260" t="str">
        <f t="shared" si="6"/>
        <v/>
      </c>
      <c r="M67" s="261"/>
      <c r="N67" s="255"/>
      <c r="O67" s="255"/>
      <c r="P67" s="255"/>
      <c r="Q67" s="255"/>
      <c r="R67" s="255"/>
      <c r="S67" s="255"/>
      <c r="T67" s="231"/>
      <c r="U67" s="255"/>
      <c r="V67" s="233"/>
      <c r="W67" s="262"/>
      <c r="X67" s="262"/>
      <c r="Y67" s="263"/>
      <c r="Z67" s="173"/>
      <c r="AA67" s="173"/>
      <c r="AC67" s="264" t="str">
        <f t="shared" si="8"/>
        <v/>
      </c>
      <c r="AD67" s="212">
        <f t="shared" ref="AD67:AI67" si="89">AC67+1</f>
        <v>1</v>
      </c>
      <c r="AE67" s="212">
        <f t="shared" si="89"/>
        <v>2</v>
      </c>
      <c r="AF67" s="212">
        <f t="shared" si="89"/>
        <v>3</v>
      </c>
      <c r="AG67" s="212">
        <f t="shared" si="89"/>
        <v>4</v>
      </c>
      <c r="AH67" s="212">
        <f t="shared" si="89"/>
        <v>5</v>
      </c>
      <c r="AI67" s="265">
        <f t="shared" si="89"/>
        <v>6</v>
      </c>
      <c r="AJ67" s="266">
        <f>AJ66+0.5</f>
        <v>16.5</v>
      </c>
      <c r="AK67" s="69"/>
      <c r="AL67" s="54">
        <f t="shared" si="10"/>
        <v>0</v>
      </c>
      <c r="AM67" s="183" t="str">
        <f>AM66</f>
        <v/>
      </c>
      <c r="AN67" s="54"/>
      <c r="AO67" s="267"/>
      <c r="AP67" s="242" t="str">
        <f t="shared" si="22"/>
        <v/>
      </c>
      <c r="AQ67" s="242" t="str">
        <f t="shared" ref="AQ67:AV67" si="90">IF(F67="",AP67,F67)</f>
        <v/>
      </c>
      <c r="AR67" s="242" t="str">
        <f t="shared" si="90"/>
        <v/>
      </c>
      <c r="AS67" s="242" t="str">
        <f t="shared" si="90"/>
        <v/>
      </c>
      <c r="AT67" s="242" t="str">
        <f t="shared" si="90"/>
        <v/>
      </c>
      <c r="AU67" s="242" t="str">
        <f t="shared" si="90"/>
        <v/>
      </c>
      <c r="AV67" s="242" t="str">
        <f t="shared" si="90"/>
        <v/>
      </c>
      <c r="AW67" s="268" t="str">
        <f t="shared" si="30"/>
        <v/>
      </c>
      <c r="AX67" s="269"/>
      <c r="AY67" s="270"/>
      <c r="AZ67" s="271"/>
      <c r="BA67" s="246"/>
      <c r="BB67" s="246"/>
      <c r="BC67" s="263"/>
      <c r="BD67" s="66"/>
      <c r="BE67" s="69"/>
      <c r="BF67" s="54"/>
      <c r="BG67" s="54"/>
      <c r="BH67" s="54"/>
      <c r="BI67" s="54"/>
      <c r="BK67" s="173"/>
      <c r="BM67" s="173"/>
      <c r="BN67" s="175"/>
      <c r="BO67" s="253" t="str">
        <f>IFERROR(__xludf.DUMMYFUNCTION("""COMPUTED_VALUE"""),"")</f>
        <v/>
      </c>
      <c r="BP67" s="250" t="str">
        <f t="shared" si="36"/>
        <v/>
      </c>
      <c r="BQ67" s="253" t="str">
        <f>IFERROR(__xludf.DUMMYFUNCTION("""COMPUTED_VALUE"""),"")</f>
        <v/>
      </c>
      <c r="BR67" s="250"/>
      <c r="BS67" s="250" t="str">
        <f t="shared" si="15"/>
        <v/>
      </c>
      <c r="BT67" s="250" t="str">
        <f t="shared" si="37"/>
        <v/>
      </c>
      <c r="BU67" s="253" t="str">
        <f t="shared" si="33"/>
        <v/>
      </c>
      <c r="BV67" s="254" t="b">
        <f t="shared" si="17"/>
        <v>0</v>
      </c>
      <c r="BW67" s="175" t="str">
        <f t="shared" si="38"/>
        <v/>
      </c>
      <c r="BX67" s="44" t="b">
        <f t="shared" si="19"/>
        <v>0</v>
      </c>
      <c r="BY67" s="202" t="b">
        <f t="shared" si="20"/>
        <v>0</v>
      </c>
      <c r="BZ67" s="203">
        <f t="shared" si="25"/>
        <v>0</v>
      </c>
      <c r="CA67" s="175">
        <f t="shared" si="26"/>
        <v>0</v>
      </c>
      <c r="CB67" s="175"/>
      <c r="CC67" s="173"/>
      <c r="CD67" s="173"/>
    </row>
    <row r="68" ht="15.75" customHeight="1">
      <c r="A68" s="11"/>
      <c r="B68" s="221" t="str">
        <f>IF(B66="","",B66+7)</f>
        <v/>
      </c>
      <c r="C68" s="222"/>
      <c r="D68" s="223" t="str">
        <f t="shared" si="27"/>
        <v>Weight</v>
      </c>
      <c r="E68" s="272"/>
      <c r="F68" s="272"/>
      <c r="G68" s="272"/>
      <c r="H68" s="272"/>
      <c r="I68" s="272"/>
      <c r="J68" s="272"/>
      <c r="K68" s="272"/>
      <c r="L68" s="284" t="str">
        <f t="shared" si="6"/>
        <v/>
      </c>
      <c r="M68" s="227"/>
      <c r="N68" s="228"/>
      <c r="O68" s="228"/>
      <c r="P68" s="228"/>
      <c r="Q68" s="276" t="str">
        <f>BL68</f>
        <v/>
      </c>
      <c r="R68" s="228"/>
      <c r="S68" s="230" t="str">
        <f>IFERROR(__xludf.DUMMYFUNCTION("IF(L68="""","""",(L68-index(filter($L$36:L66,$L$36:L66&lt;&gt;"""",ISEVEN(row($L$36:L66))),count(filter($L$36:L66,$L$36:L66&lt;&gt;"""",iseven(row($L$36:L66)))),1)))"),"")</f>
        <v/>
      </c>
      <c r="T68" s="231"/>
      <c r="U68" s="232" t="str">
        <f>if(BD$24=FALSE,"",IF(L68="","",BC68))</f>
        <v/>
      </c>
      <c r="V68" s="233"/>
      <c r="W68" s="234">
        <f>IF(count(S68:S69)&gt;1,1,0)</f>
        <v>0</v>
      </c>
      <c r="X68" s="235" t="str">
        <f>if(Y68="","","Week 17")</f>
        <v/>
      </c>
      <c r="Y68" s="236" t="str">
        <f>IF(S68="","",text(B68,"MMM-YY"))</f>
        <v/>
      </c>
      <c r="Z68" s="173"/>
      <c r="AA68" s="173"/>
      <c r="AC68" s="264" t="str">
        <f t="shared" si="8"/>
        <v/>
      </c>
      <c r="AD68" s="212">
        <f t="shared" ref="AD68:AI68" si="91">AC68+1</f>
        <v>1</v>
      </c>
      <c r="AE68" s="212">
        <f t="shared" si="91"/>
        <v>2</v>
      </c>
      <c r="AF68" s="212">
        <f t="shared" si="91"/>
        <v>3</v>
      </c>
      <c r="AG68" s="212">
        <f t="shared" si="91"/>
        <v>4</v>
      </c>
      <c r="AH68" s="212">
        <f t="shared" si="91"/>
        <v>5</v>
      </c>
      <c r="AI68" s="265">
        <f t="shared" si="91"/>
        <v>6</v>
      </c>
      <c r="AJ68" s="266">
        <f>AJ66+1</f>
        <v>17</v>
      </c>
      <c r="AK68" s="277">
        <v>16.0</v>
      </c>
      <c r="AL68" s="54">
        <f t="shared" si="10"/>
        <v>0</v>
      </c>
      <c r="AM68" s="198" t="str">
        <f>IF(K68="",AM66,K68)</f>
        <v/>
      </c>
      <c r="AN68" s="54"/>
      <c r="AO68" s="241"/>
      <c r="AP68" s="242" t="str">
        <f t="shared" si="22"/>
        <v/>
      </c>
      <c r="AQ68" s="242" t="str">
        <f t="shared" ref="AQ68:AV68" si="92">IF(F68="",AP68,F68)</f>
        <v/>
      </c>
      <c r="AR68" s="242" t="str">
        <f t="shared" si="92"/>
        <v/>
      </c>
      <c r="AS68" s="242" t="str">
        <f t="shared" si="92"/>
        <v/>
      </c>
      <c r="AT68" s="242" t="str">
        <f t="shared" si="92"/>
        <v/>
      </c>
      <c r="AU68" s="242" t="str">
        <f t="shared" si="92"/>
        <v/>
      </c>
      <c r="AV68" s="242" t="str">
        <f t="shared" si="92"/>
        <v/>
      </c>
      <c r="AW68" s="278" t="str">
        <f t="shared" si="30"/>
        <v/>
      </c>
      <c r="AX68" s="244">
        <f>if(AND(AW68=AX$34,$AL68&gt;0),ROW(),0)</f>
        <v>0</v>
      </c>
      <c r="AY68" s="244">
        <f>if(AND(AW68=AY$34,$AL68&gt;0),ROW(),0)</f>
        <v>0</v>
      </c>
      <c r="AZ68" s="279" t="str">
        <f>IF(AW68="","",AW68-AW66)</f>
        <v/>
      </c>
      <c r="BA68" s="246">
        <f>if(BB68&gt;0,row(),0)</f>
        <v>68</v>
      </c>
      <c r="BB68" s="246">
        <f>max(if(E68=AW$30,COLUMN(E68),0),if(F68=AW$30,COLUMN(F68),0),if(G68=AW$30,COLUMN(G68),0),if(H68=AW$30,COLUMN(H68),0),if(I68=AW$30,COLUMN(I68),0),if(J68=AW$30,COLUMN(J68),0),if(K68=AW$30,COLUMN(K68),0))</f>
        <v>11</v>
      </c>
      <c r="BC68" s="247" t="str">
        <f>IF(BD68="","",IF(AZ68="","",BD68))</f>
        <v/>
      </c>
      <c r="BD68" s="248">
        <f>IF(AL68=0,BD66,IF(AL69=0,BD66,((AW69+(((-AZ68)*$BD$7)/AL69)+sum($BE$38:BE66))/AK68)))</f>
        <v>0</v>
      </c>
      <c r="BE68" s="249">
        <f>IF(AL68=0,BE66,IF(AL69=0,BE66,AW69+(((-AZ68)*$BD$7)/AL69)))</f>
        <v>0</v>
      </c>
      <c r="BF68" s="54"/>
      <c r="BG68" s="54"/>
      <c r="BH68" s="54"/>
      <c r="BI68" s="54"/>
      <c r="BJ68" s="173" t="str">
        <f>text(B68,"YYYY MMM")</f>
        <v/>
      </c>
      <c r="BK68" s="173"/>
      <c r="BL68" s="174" t="str">
        <f>if($G$13="Disable","", if($G$9="","",if(and($G$9="Male",count($N68:$O68)&lt;&gt;2),"",
if(and($G$9="Male",count($N68:$O68)=2),round(if($N68="","",
     if($G$14="cm",86.01*log($N68-$O68)-70.041*log($G$15)+30.3,
     if($G$14="inch",86.01*log(($N68-$O68)*2.54)-70.041*log($G$15*2.54)+30.3))),0),                                         
if(and($G$9="Female",count($N68:$P68)&lt;&gt;3),"",
if(and($G$9="Female",count($N68:$P68)=3),round(if($N68="","",
        if($G$14="cm",495/(1.29579-0.35004*log10($N68+$P68-$O68)+0.221 * log10($G$15))-450,
        if($G$14="inch",495/(1.29579-0.35004*log10(($N68+$P68-$O68)*2.54)+0.221 * log10($G$15*2.54))-450))),0)))))))</f>
        <v/>
      </c>
      <c r="BM68" s="173"/>
      <c r="BN68" s="175"/>
      <c r="BO68" s="253" t="str">
        <f>IFERROR(__xludf.DUMMYFUNCTION("""COMPUTED_VALUE"""),"")</f>
        <v/>
      </c>
      <c r="BP68" s="250" t="str">
        <f t="shared" si="36"/>
        <v/>
      </c>
      <c r="BQ68" s="253" t="str">
        <f>IFERROR(__xludf.DUMMYFUNCTION("""COMPUTED_VALUE"""),"")</f>
        <v/>
      </c>
      <c r="BR68" s="250"/>
      <c r="BS68" s="250" t="str">
        <f t="shared" si="15"/>
        <v/>
      </c>
      <c r="BT68" s="250" t="str">
        <f t="shared" si="37"/>
        <v/>
      </c>
      <c r="BU68" s="253" t="str">
        <f t="shared" si="33"/>
        <v/>
      </c>
      <c r="BV68" s="254" t="b">
        <f t="shared" si="17"/>
        <v>0</v>
      </c>
      <c r="BW68" s="175" t="str">
        <f t="shared" si="38"/>
        <v/>
      </c>
      <c r="BX68" s="44" t="b">
        <f t="shared" si="19"/>
        <v>0</v>
      </c>
      <c r="BY68" s="202" t="b">
        <f t="shared" si="20"/>
        <v>0</v>
      </c>
      <c r="BZ68" s="203">
        <f t="shared" si="25"/>
        <v>0</v>
      </c>
      <c r="CA68" s="175">
        <f t="shared" si="26"/>
        <v>0</v>
      </c>
      <c r="CB68" s="175"/>
      <c r="CC68" s="173"/>
      <c r="CD68" s="173"/>
    </row>
    <row r="69" ht="15.75" customHeight="1">
      <c r="A69" s="11"/>
      <c r="B69" s="255"/>
      <c r="C69" s="256"/>
      <c r="D69" s="257" t="str">
        <f t="shared" si="27"/>
        <v>Calories</v>
      </c>
      <c r="E69" s="258"/>
      <c r="F69" s="280"/>
      <c r="G69" s="280"/>
      <c r="H69" s="280"/>
      <c r="I69" s="280"/>
      <c r="J69" s="280"/>
      <c r="K69" s="280"/>
      <c r="L69" s="260" t="str">
        <f t="shared" si="6"/>
        <v/>
      </c>
      <c r="M69" s="261"/>
      <c r="N69" s="255"/>
      <c r="O69" s="255"/>
      <c r="P69" s="255"/>
      <c r="Q69" s="255"/>
      <c r="R69" s="255"/>
      <c r="S69" s="255"/>
      <c r="T69" s="231"/>
      <c r="U69" s="255"/>
      <c r="V69" s="233"/>
      <c r="W69" s="262"/>
      <c r="X69" s="262"/>
      <c r="Y69" s="263"/>
      <c r="Z69" s="173"/>
      <c r="AA69" s="173"/>
      <c r="AC69" s="264" t="str">
        <f t="shared" si="8"/>
        <v/>
      </c>
      <c r="AD69" s="212">
        <f t="shared" ref="AD69:AI69" si="93">AC69+1</f>
        <v>1</v>
      </c>
      <c r="AE69" s="212">
        <f t="shared" si="93"/>
        <v>2</v>
      </c>
      <c r="AF69" s="212">
        <f t="shared" si="93"/>
        <v>3</v>
      </c>
      <c r="AG69" s="212">
        <f t="shared" si="93"/>
        <v>4</v>
      </c>
      <c r="AH69" s="212">
        <f t="shared" si="93"/>
        <v>5</v>
      </c>
      <c r="AI69" s="265">
        <f t="shared" si="93"/>
        <v>6</v>
      </c>
      <c r="AJ69" s="266">
        <f>AJ68+0.5</f>
        <v>17.5</v>
      </c>
      <c r="AK69" s="69"/>
      <c r="AL69" s="54">
        <f t="shared" si="10"/>
        <v>0</v>
      </c>
      <c r="AM69" s="183" t="str">
        <f>AM68</f>
        <v/>
      </c>
      <c r="AN69" s="54"/>
      <c r="AO69" s="267"/>
      <c r="AP69" s="242" t="str">
        <f t="shared" si="22"/>
        <v/>
      </c>
      <c r="AQ69" s="242" t="str">
        <f t="shared" ref="AQ69:AV69" si="94">IF(F69="",AP69,F69)</f>
        <v/>
      </c>
      <c r="AR69" s="242" t="str">
        <f t="shared" si="94"/>
        <v/>
      </c>
      <c r="AS69" s="242" t="str">
        <f t="shared" si="94"/>
        <v/>
      </c>
      <c r="AT69" s="242" t="str">
        <f t="shared" si="94"/>
        <v/>
      </c>
      <c r="AU69" s="242" t="str">
        <f t="shared" si="94"/>
        <v/>
      </c>
      <c r="AV69" s="242" t="str">
        <f t="shared" si="94"/>
        <v/>
      </c>
      <c r="AW69" s="268" t="str">
        <f t="shared" si="30"/>
        <v/>
      </c>
      <c r="AX69" s="269"/>
      <c r="AY69" s="270"/>
      <c r="AZ69" s="271"/>
      <c r="BA69" s="246"/>
      <c r="BB69" s="246"/>
      <c r="BC69" s="263"/>
      <c r="BD69" s="66"/>
      <c r="BE69" s="69"/>
      <c r="BF69" s="54"/>
      <c r="BG69" s="54"/>
      <c r="BH69" s="54"/>
      <c r="BI69" s="54"/>
      <c r="BK69" s="173"/>
      <c r="BM69" s="173"/>
      <c r="BN69" s="175"/>
      <c r="BO69" s="253" t="str">
        <f>IFERROR(__xludf.DUMMYFUNCTION("""COMPUTED_VALUE"""),"")</f>
        <v/>
      </c>
      <c r="BP69" s="250" t="str">
        <f t="shared" si="36"/>
        <v/>
      </c>
      <c r="BQ69" s="253" t="str">
        <f>IFERROR(__xludf.DUMMYFUNCTION("""COMPUTED_VALUE"""),"")</f>
        <v/>
      </c>
      <c r="BR69" s="250"/>
      <c r="BS69" s="250" t="str">
        <f t="shared" si="15"/>
        <v/>
      </c>
      <c r="BT69" s="250" t="str">
        <f t="shared" si="37"/>
        <v/>
      </c>
      <c r="BU69" s="253" t="str">
        <f t="shared" si="33"/>
        <v/>
      </c>
      <c r="BV69" s="254" t="b">
        <f t="shared" si="17"/>
        <v>0</v>
      </c>
      <c r="BW69" s="175" t="str">
        <f t="shared" si="38"/>
        <v/>
      </c>
      <c r="BX69" s="44" t="b">
        <f t="shared" si="19"/>
        <v>0</v>
      </c>
      <c r="BY69" s="202" t="b">
        <f t="shared" si="20"/>
        <v>0</v>
      </c>
      <c r="BZ69" s="203">
        <f t="shared" si="25"/>
        <v>0</v>
      </c>
      <c r="CA69" s="175">
        <f t="shared" si="26"/>
        <v>0</v>
      </c>
      <c r="CB69" s="175"/>
      <c r="CC69" s="173"/>
      <c r="CD69" s="173"/>
    </row>
    <row r="70" ht="15.75" customHeight="1">
      <c r="A70" s="11"/>
      <c r="B70" s="221" t="str">
        <f>IF(B68="","",B68+7)</f>
        <v/>
      </c>
      <c r="C70" s="222"/>
      <c r="D70" s="223" t="str">
        <f t="shared" si="27"/>
        <v>Weight</v>
      </c>
      <c r="E70" s="272"/>
      <c r="F70" s="272"/>
      <c r="G70" s="272"/>
      <c r="H70" s="272"/>
      <c r="I70" s="272"/>
      <c r="J70" s="272"/>
      <c r="K70" s="272"/>
      <c r="L70" s="284" t="str">
        <f t="shared" si="6"/>
        <v/>
      </c>
      <c r="M70" s="227"/>
      <c r="N70" s="228"/>
      <c r="O70" s="228"/>
      <c r="P70" s="228"/>
      <c r="Q70" s="276" t="str">
        <f>BL70</f>
        <v/>
      </c>
      <c r="R70" s="228"/>
      <c r="S70" s="230" t="str">
        <f>IFERROR(__xludf.DUMMYFUNCTION("IF(L70="""","""",(L70-index(filter($L$36:L68,$L$36:L68&lt;&gt;"""",ISEVEN(row($L$36:L68))),count(filter($L$36:L68,$L$36:L68&lt;&gt;"""",iseven(row($L$36:L68)))),1)))"),"")</f>
        <v/>
      </c>
      <c r="T70" s="231"/>
      <c r="U70" s="232" t="str">
        <f>if(BD$24=FALSE,"",IF(L70="","",BC70))</f>
        <v/>
      </c>
      <c r="V70" s="233"/>
      <c r="W70" s="234">
        <f>IF(count(S70:S71)&gt;1,1,0)</f>
        <v>0</v>
      </c>
      <c r="X70" s="235" t="str">
        <f>if(Y70="","","Week 18")</f>
        <v/>
      </c>
      <c r="Y70" s="236" t="str">
        <f>IF(S70="","",text(B70,"MMM-YY"))</f>
        <v/>
      </c>
      <c r="Z70" s="7"/>
      <c r="AA70" s="7"/>
      <c r="AC70" s="264" t="str">
        <f t="shared" si="8"/>
        <v/>
      </c>
      <c r="AD70" s="212">
        <f t="shared" ref="AD70:AI70" si="95">AC70+1</f>
        <v>1</v>
      </c>
      <c r="AE70" s="212">
        <f t="shared" si="95"/>
        <v>2</v>
      </c>
      <c r="AF70" s="212">
        <f t="shared" si="95"/>
        <v>3</v>
      </c>
      <c r="AG70" s="212">
        <f t="shared" si="95"/>
        <v>4</v>
      </c>
      <c r="AH70" s="212">
        <f t="shared" si="95"/>
        <v>5</v>
      </c>
      <c r="AI70" s="265">
        <f t="shared" si="95"/>
        <v>6</v>
      </c>
      <c r="AJ70" s="266">
        <f>AJ68+1</f>
        <v>18</v>
      </c>
      <c r="AK70" s="277">
        <v>17.0</v>
      </c>
      <c r="AL70" s="54">
        <f t="shared" si="10"/>
        <v>0</v>
      </c>
      <c r="AM70" s="198" t="str">
        <f>IF(K70="",AM68,K70)</f>
        <v/>
      </c>
      <c r="AN70" s="54"/>
      <c r="AO70" s="241"/>
      <c r="AP70" s="242" t="str">
        <f t="shared" si="22"/>
        <v/>
      </c>
      <c r="AQ70" s="242" t="str">
        <f t="shared" ref="AQ70:AV70" si="96">IF(F70="",AP70,F70)</f>
        <v/>
      </c>
      <c r="AR70" s="242" t="str">
        <f t="shared" si="96"/>
        <v/>
      </c>
      <c r="AS70" s="242" t="str">
        <f t="shared" si="96"/>
        <v/>
      </c>
      <c r="AT70" s="242" t="str">
        <f t="shared" si="96"/>
        <v/>
      </c>
      <c r="AU70" s="242" t="str">
        <f t="shared" si="96"/>
        <v/>
      </c>
      <c r="AV70" s="242" t="str">
        <f t="shared" si="96"/>
        <v/>
      </c>
      <c r="AW70" s="278" t="str">
        <f t="shared" si="30"/>
        <v/>
      </c>
      <c r="AX70" s="244">
        <f>if(AND(AW70=AX$34,$AL70&gt;0),ROW(),0)</f>
        <v>0</v>
      </c>
      <c r="AY70" s="244">
        <f>if(AND(AW70=AY$34,$AL70&gt;0),ROW(),0)</f>
        <v>0</v>
      </c>
      <c r="AZ70" s="279" t="str">
        <f>IF(AW70="","",AW70-AW68)</f>
        <v/>
      </c>
      <c r="BA70" s="246">
        <f>if(BB70&gt;0,row(),0)</f>
        <v>70</v>
      </c>
      <c r="BB70" s="246">
        <f>max(if(E70=AW$30,COLUMN(E70),0),if(F70=AW$30,COLUMN(F70),0),if(G70=AW$30,COLUMN(G70),0),if(H70=AW$30,COLUMN(H70),0),if(I70=AW$30,COLUMN(I70),0),if(J70=AW$30,COLUMN(J70),0),if(K70=AW$30,COLUMN(K70),0))</f>
        <v>11</v>
      </c>
      <c r="BC70" s="247" t="str">
        <f>IF(BD70="","",IF(AZ70="","",BD70))</f>
        <v/>
      </c>
      <c r="BD70" s="248">
        <f>IF(AL70=0,BD68,IF(AL71=0,BD68,((AW71+(((-AZ70)*$BD$7)/AL71)+sum($BE$38:BE68))/AK70)))</f>
        <v>0</v>
      </c>
      <c r="BE70" s="249">
        <f>IF(AL70=0,BE68,IF(AL71=0,BE68,AW71+(((-AZ70)*$BD$7)/AL71)))</f>
        <v>0</v>
      </c>
      <c r="BF70" s="54"/>
      <c r="BG70" s="54"/>
      <c r="BH70" s="54"/>
      <c r="BI70" s="54"/>
      <c r="BJ70" s="173" t="str">
        <f>text(B70,"YYYY MMM")</f>
        <v/>
      </c>
      <c r="BK70" s="173"/>
      <c r="BL70" s="174" t="str">
        <f>if($G$13="Disable","", if($G$9="","",if(and($G$9="Male",count($N70:$O70)&lt;&gt;2),"",
if(and($G$9="Male",count($N70:$O70)=2),round(if($N70="","",
     if($G$14="cm",86.01*log($N70-$O70)-70.041*log($G$15)+30.3,
     if($G$14="inch",86.01*log(($N70-$O70)*2.54)-70.041*log($G$15*2.54)+30.3))),0),                                         
if(and($G$9="Female",count($N70:$P70)&lt;&gt;3),"",
if(and($G$9="Female",count($N70:$P70)=3),round(if($N70="","",
        if($G$14="cm",495/(1.29579-0.35004*log10($N70+$P70-$O70)+0.221 * log10($G$15))-450,
        if($G$14="inch",495/(1.29579-0.35004*log10(($N70+$P70-$O70)*2.54)+0.221 * log10($G$15*2.54))-450))),0)))))))</f>
        <v/>
      </c>
      <c r="BM70" s="173"/>
      <c r="BN70" s="175"/>
      <c r="BO70" s="253" t="str">
        <f>IFERROR(__xludf.DUMMYFUNCTION("""COMPUTED_VALUE"""),"")</f>
        <v/>
      </c>
      <c r="BP70" s="250" t="str">
        <f t="shared" si="36"/>
        <v/>
      </c>
      <c r="BQ70" s="253" t="str">
        <f>IFERROR(__xludf.DUMMYFUNCTION("""COMPUTED_VALUE"""),"")</f>
        <v/>
      </c>
      <c r="BR70" s="250"/>
      <c r="BS70" s="250" t="str">
        <f t="shared" si="15"/>
        <v/>
      </c>
      <c r="BT70" s="250" t="str">
        <f t="shared" si="37"/>
        <v/>
      </c>
      <c r="BU70" s="253" t="str">
        <f t="shared" si="33"/>
        <v/>
      </c>
      <c r="BV70" s="254" t="b">
        <f t="shared" si="17"/>
        <v>0</v>
      </c>
      <c r="BW70" s="175" t="str">
        <f t="shared" si="38"/>
        <v/>
      </c>
      <c r="BX70" s="44" t="b">
        <f t="shared" si="19"/>
        <v>0</v>
      </c>
      <c r="BY70" s="202" t="b">
        <f t="shared" si="20"/>
        <v>0</v>
      </c>
      <c r="BZ70" s="203">
        <f t="shared" si="25"/>
        <v>0</v>
      </c>
      <c r="CA70" s="175">
        <f t="shared" si="26"/>
        <v>0</v>
      </c>
      <c r="CB70" s="175"/>
      <c r="CC70" s="173"/>
      <c r="CD70" s="173"/>
    </row>
    <row r="71" ht="15.75" customHeight="1">
      <c r="A71" s="11"/>
      <c r="B71" s="255"/>
      <c r="C71" s="256"/>
      <c r="D71" s="257" t="str">
        <f t="shared" si="27"/>
        <v>Calories</v>
      </c>
      <c r="E71" s="258"/>
      <c r="F71" s="280"/>
      <c r="G71" s="280"/>
      <c r="H71" s="280"/>
      <c r="I71" s="280"/>
      <c r="J71" s="280"/>
      <c r="K71" s="280"/>
      <c r="L71" s="260" t="str">
        <f t="shared" si="6"/>
        <v/>
      </c>
      <c r="M71" s="261"/>
      <c r="N71" s="255"/>
      <c r="O71" s="255"/>
      <c r="P71" s="255"/>
      <c r="Q71" s="255"/>
      <c r="R71" s="255"/>
      <c r="S71" s="255"/>
      <c r="T71" s="231"/>
      <c r="U71" s="255"/>
      <c r="V71" s="233"/>
      <c r="W71" s="262"/>
      <c r="X71" s="262"/>
      <c r="Y71" s="263"/>
      <c r="Z71" s="7"/>
      <c r="AA71" s="7"/>
      <c r="AC71" s="264" t="str">
        <f t="shared" si="8"/>
        <v/>
      </c>
      <c r="AD71" s="212">
        <f t="shared" ref="AD71:AI71" si="97">AC71+1</f>
        <v>1</v>
      </c>
      <c r="AE71" s="212">
        <f t="shared" si="97"/>
        <v>2</v>
      </c>
      <c r="AF71" s="212">
        <f t="shared" si="97"/>
        <v>3</v>
      </c>
      <c r="AG71" s="212">
        <f t="shared" si="97"/>
        <v>4</v>
      </c>
      <c r="AH71" s="212">
        <f t="shared" si="97"/>
        <v>5</v>
      </c>
      <c r="AI71" s="265">
        <f t="shared" si="97"/>
        <v>6</v>
      </c>
      <c r="AJ71" s="266">
        <f>AJ70+0.5</f>
        <v>18.5</v>
      </c>
      <c r="AK71" s="69"/>
      <c r="AL71" s="54">
        <f t="shared" si="10"/>
        <v>0</v>
      </c>
      <c r="AM71" s="183" t="str">
        <f>AM70</f>
        <v/>
      </c>
      <c r="AN71" s="54"/>
      <c r="AO71" s="267"/>
      <c r="AP71" s="242" t="str">
        <f t="shared" si="22"/>
        <v/>
      </c>
      <c r="AQ71" s="242" t="str">
        <f t="shared" ref="AQ71:AV71" si="98">IF(F71="",AP71,F71)</f>
        <v/>
      </c>
      <c r="AR71" s="242" t="str">
        <f t="shared" si="98"/>
        <v/>
      </c>
      <c r="AS71" s="242" t="str">
        <f t="shared" si="98"/>
        <v/>
      </c>
      <c r="AT71" s="242" t="str">
        <f t="shared" si="98"/>
        <v/>
      </c>
      <c r="AU71" s="242" t="str">
        <f t="shared" si="98"/>
        <v/>
      </c>
      <c r="AV71" s="242" t="str">
        <f t="shared" si="98"/>
        <v/>
      </c>
      <c r="AW71" s="268" t="str">
        <f t="shared" si="30"/>
        <v/>
      </c>
      <c r="AX71" s="269"/>
      <c r="AY71" s="270"/>
      <c r="AZ71" s="271"/>
      <c r="BA71" s="246"/>
      <c r="BB71" s="246"/>
      <c r="BC71" s="263"/>
      <c r="BD71" s="66"/>
      <c r="BE71" s="69"/>
      <c r="BF71" s="54"/>
      <c r="BG71" s="54"/>
      <c r="BH71" s="54"/>
      <c r="BI71" s="54"/>
      <c r="BK71" s="173"/>
      <c r="BM71" s="173"/>
      <c r="BN71" s="175"/>
      <c r="BO71" s="253" t="str">
        <f>IFERROR(__xludf.DUMMYFUNCTION("""COMPUTED_VALUE"""),"")</f>
        <v/>
      </c>
      <c r="BP71" s="250" t="str">
        <f t="shared" si="36"/>
        <v/>
      </c>
      <c r="BQ71" s="253" t="str">
        <f>IFERROR(__xludf.DUMMYFUNCTION("""COMPUTED_VALUE"""),"")</f>
        <v/>
      </c>
      <c r="BR71" s="250"/>
      <c r="BS71" s="250" t="str">
        <f t="shared" si="15"/>
        <v/>
      </c>
      <c r="BT71" s="250" t="str">
        <f t="shared" si="37"/>
        <v/>
      </c>
      <c r="BU71" s="253" t="str">
        <f t="shared" si="33"/>
        <v/>
      </c>
      <c r="BV71" s="254" t="b">
        <f t="shared" si="17"/>
        <v>0</v>
      </c>
      <c r="BW71" s="175" t="str">
        <f t="shared" si="38"/>
        <v/>
      </c>
      <c r="BX71" s="44" t="b">
        <f t="shared" si="19"/>
        <v>0</v>
      </c>
      <c r="BY71" s="202" t="b">
        <f t="shared" si="20"/>
        <v>0</v>
      </c>
      <c r="BZ71" s="203">
        <f t="shared" si="25"/>
        <v>0</v>
      </c>
      <c r="CA71" s="175">
        <f t="shared" si="26"/>
        <v>0</v>
      </c>
      <c r="CB71" s="175"/>
      <c r="CC71" s="173"/>
      <c r="CD71" s="173"/>
    </row>
    <row r="72" ht="15.75" customHeight="1">
      <c r="A72" s="11"/>
      <c r="B72" s="221" t="str">
        <f>IF(B70="","",B70+7)</f>
        <v/>
      </c>
      <c r="C72" s="222"/>
      <c r="D72" s="223" t="str">
        <f t="shared" si="27"/>
        <v>Weight</v>
      </c>
      <c r="E72" s="272"/>
      <c r="F72" s="272"/>
      <c r="G72" s="272"/>
      <c r="H72" s="272"/>
      <c r="I72" s="272"/>
      <c r="J72" s="272"/>
      <c r="K72" s="272"/>
      <c r="L72" s="284" t="str">
        <f t="shared" si="6"/>
        <v/>
      </c>
      <c r="M72" s="227"/>
      <c r="N72" s="228"/>
      <c r="O72" s="228"/>
      <c r="P72" s="228"/>
      <c r="Q72" s="276" t="str">
        <f>BL72</f>
        <v/>
      </c>
      <c r="R72" s="228"/>
      <c r="S72" s="230" t="str">
        <f>IFERROR(__xludf.DUMMYFUNCTION("IF(L72="""","""",(L72-index(filter($L$36:L70,$L$36:L70&lt;&gt;"""",ISEVEN(row($L$36:L70))),count(filter($L$36:L70,$L$36:L70&lt;&gt;"""",iseven(row($L$36:L70)))),1)))"),"")</f>
        <v/>
      </c>
      <c r="T72" s="231"/>
      <c r="U72" s="232" t="str">
        <f>if(BD$24=FALSE,"",IF(L72="","",BC72))</f>
        <v/>
      </c>
      <c r="V72" s="233"/>
      <c r="W72" s="234">
        <f>IF(count(S72:S73)&gt;1,1,0)</f>
        <v>0</v>
      </c>
      <c r="X72" s="235" t="str">
        <f>if(Y72="","","Week 19")</f>
        <v/>
      </c>
      <c r="Y72" s="236" t="str">
        <f>IF(S72="","",text(B72,"MMM-YY"))</f>
        <v/>
      </c>
      <c r="Z72" s="7"/>
      <c r="AA72" s="7"/>
      <c r="AC72" s="264" t="str">
        <f t="shared" si="8"/>
        <v/>
      </c>
      <c r="AD72" s="212">
        <f t="shared" ref="AD72:AI72" si="99">AC72+1</f>
        <v>1</v>
      </c>
      <c r="AE72" s="212">
        <f t="shared" si="99"/>
        <v>2</v>
      </c>
      <c r="AF72" s="212">
        <f t="shared" si="99"/>
        <v>3</v>
      </c>
      <c r="AG72" s="212">
        <f t="shared" si="99"/>
        <v>4</v>
      </c>
      <c r="AH72" s="212">
        <f t="shared" si="99"/>
        <v>5</v>
      </c>
      <c r="AI72" s="265">
        <f t="shared" si="99"/>
        <v>6</v>
      </c>
      <c r="AJ72" s="266">
        <f>AJ70+1</f>
        <v>19</v>
      </c>
      <c r="AK72" s="277">
        <v>18.0</v>
      </c>
      <c r="AL72" s="54">
        <f t="shared" si="10"/>
        <v>0</v>
      </c>
      <c r="AM72" s="198" t="str">
        <f>IF(K72="",AM70,K72)</f>
        <v/>
      </c>
      <c r="AN72" s="54"/>
      <c r="AO72" s="241"/>
      <c r="AP72" s="242" t="str">
        <f t="shared" si="22"/>
        <v/>
      </c>
      <c r="AQ72" s="242" t="str">
        <f t="shared" ref="AQ72:AV72" si="100">IF(F72="",AP72,F72)</f>
        <v/>
      </c>
      <c r="AR72" s="242" t="str">
        <f t="shared" si="100"/>
        <v/>
      </c>
      <c r="AS72" s="242" t="str">
        <f t="shared" si="100"/>
        <v/>
      </c>
      <c r="AT72" s="242" t="str">
        <f t="shared" si="100"/>
        <v/>
      </c>
      <c r="AU72" s="242" t="str">
        <f t="shared" si="100"/>
        <v/>
      </c>
      <c r="AV72" s="242" t="str">
        <f t="shared" si="100"/>
        <v/>
      </c>
      <c r="AW72" s="278" t="str">
        <f t="shared" si="30"/>
        <v/>
      </c>
      <c r="AX72" s="244">
        <f>if(AND(AW72=AX$34,$AL72&gt;0),ROW(),0)</f>
        <v>0</v>
      </c>
      <c r="AY72" s="244">
        <f>if(AND(AW72=AY$34,$AL72&gt;0),ROW(),0)</f>
        <v>0</v>
      </c>
      <c r="AZ72" s="279" t="str">
        <f>IF(AW72="","",AW72-AW70)</f>
        <v/>
      </c>
      <c r="BA72" s="246">
        <f>if(BB72&gt;0,row(),0)</f>
        <v>72</v>
      </c>
      <c r="BB72" s="246">
        <f>max(if(E72=AW$30,COLUMN(E72),0),if(F72=AW$30,COLUMN(F72),0),if(G72=AW$30,COLUMN(G72),0),if(H72=AW$30,COLUMN(H72),0),if(I72=AW$30,COLUMN(I72),0),if(J72=AW$30,COLUMN(J72),0),if(K72=AW$30,COLUMN(K72),0))</f>
        <v>11</v>
      </c>
      <c r="BC72" s="247" t="str">
        <f>IF(BD72="","",IF(AZ72="","",BD72))</f>
        <v/>
      </c>
      <c r="BD72" s="248">
        <f>IF(AL72=0,BD70,IF(AL73=0,BD70,((AW73+(((-AZ72)*$BD$7)/AL73)+sum($BE$38:BE70))/AK72)))</f>
        <v>0</v>
      </c>
      <c r="BE72" s="249">
        <f>IF(AL72=0,BE70,IF(AL73=0,BE70,AW73+(((-AZ72)*$BD$7)/AL73)))</f>
        <v>0</v>
      </c>
      <c r="BF72" s="54"/>
      <c r="BG72" s="54"/>
      <c r="BH72" s="54"/>
      <c r="BI72" s="54"/>
      <c r="BJ72" s="173" t="str">
        <f>text(B72,"YYYY MMM")</f>
        <v/>
      </c>
      <c r="BK72" s="173"/>
      <c r="BL72" s="174" t="str">
        <f>if($G$13="Disable","", if($G$9="","",if(and($G$9="Male",count($N72:$O72)&lt;&gt;2),"",
if(and($G$9="Male",count($N72:$O72)=2),round(if($N72="","",
     if($G$14="cm",86.01*log($N72-$O72)-70.041*log($G$15)+30.3,
     if($G$14="inch",86.01*log(($N72-$O72)*2.54)-70.041*log($G$15*2.54)+30.3))),0),                                         
if(and($G$9="Female",count($N72:$P72)&lt;&gt;3),"",
if(and($G$9="Female",count($N72:$P72)=3),round(if($N72="","",
        if($G$14="cm",495/(1.29579-0.35004*log10($N72+$P72-$O72)+0.221 * log10($G$15))-450,
        if($G$14="inch",495/(1.29579-0.35004*log10(($N72+$P72-$O72)*2.54)+0.221 * log10($G$15*2.54))-450))),0)))))))</f>
        <v/>
      </c>
      <c r="BM72" s="173"/>
      <c r="BN72" s="175"/>
      <c r="BO72" s="253" t="str">
        <f>IFERROR(__xludf.DUMMYFUNCTION("""COMPUTED_VALUE"""),"")</f>
        <v/>
      </c>
      <c r="BP72" s="250" t="str">
        <f t="shared" si="36"/>
        <v/>
      </c>
      <c r="BQ72" s="253" t="str">
        <f>IFERROR(__xludf.DUMMYFUNCTION("""COMPUTED_VALUE"""),"")</f>
        <v/>
      </c>
      <c r="BR72" s="250"/>
      <c r="BS72" s="250" t="str">
        <f t="shared" si="15"/>
        <v/>
      </c>
      <c r="BT72" s="250" t="str">
        <f t="shared" si="37"/>
        <v/>
      </c>
      <c r="BU72" s="253" t="str">
        <f t="shared" si="33"/>
        <v/>
      </c>
      <c r="BV72" s="254" t="b">
        <f t="shared" si="17"/>
        <v>0</v>
      </c>
      <c r="BW72" s="175" t="str">
        <f t="shared" si="38"/>
        <v/>
      </c>
      <c r="BX72" s="44" t="b">
        <f t="shared" si="19"/>
        <v>0</v>
      </c>
      <c r="BY72" s="202" t="b">
        <f t="shared" si="20"/>
        <v>0</v>
      </c>
      <c r="BZ72" s="203">
        <f t="shared" si="25"/>
        <v>0</v>
      </c>
      <c r="CA72" s="175">
        <f t="shared" si="26"/>
        <v>0</v>
      </c>
      <c r="CB72" s="175"/>
      <c r="CC72" s="173"/>
      <c r="CD72" s="173"/>
    </row>
    <row r="73" ht="15.75" customHeight="1">
      <c r="A73" s="11"/>
      <c r="B73" s="255"/>
      <c r="C73" s="256"/>
      <c r="D73" s="257" t="str">
        <f t="shared" si="27"/>
        <v>Calories</v>
      </c>
      <c r="E73" s="258"/>
      <c r="F73" s="280"/>
      <c r="G73" s="280"/>
      <c r="H73" s="280"/>
      <c r="I73" s="280"/>
      <c r="J73" s="280"/>
      <c r="K73" s="280"/>
      <c r="L73" s="260" t="str">
        <f t="shared" si="6"/>
        <v/>
      </c>
      <c r="M73" s="261"/>
      <c r="N73" s="255"/>
      <c r="O73" s="255"/>
      <c r="P73" s="255"/>
      <c r="Q73" s="255"/>
      <c r="R73" s="255"/>
      <c r="S73" s="255"/>
      <c r="T73" s="231"/>
      <c r="U73" s="255"/>
      <c r="V73" s="233"/>
      <c r="W73" s="262"/>
      <c r="X73" s="262"/>
      <c r="Y73" s="263"/>
      <c r="Z73" s="7"/>
      <c r="AA73" s="7"/>
      <c r="AC73" s="264" t="str">
        <f t="shared" si="8"/>
        <v/>
      </c>
      <c r="AD73" s="212">
        <f t="shared" ref="AD73:AI73" si="101">AC73+1</f>
        <v>1</v>
      </c>
      <c r="AE73" s="212">
        <f t="shared" si="101"/>
        <v>2</v>
      </c>
      <c r="AF73" s="212">
        <f t="shared" si="101"/>
        <v>3</v>
      </c>
      <c r="AG73" s="212">
        <f t="shared" si="101"/>
        <v>4</v>
      </c>
      <c r="AH73" s="212">
        <f t="shared" si="101"/>
        <v>5</v>
      </c>
      <c r="AI73" s="265">
        <f t="shared" si="101"/>
        <v>6</v>
      </c>
      <c r="AJ73" s="266">
        <f>AJ72+0.5</f>
        <v>19.5</v>
      </c>
      <c r="AK73" s="69"/>
      <c r="AL73" s="54">
        <f t="shared" si="10"/>
        <v>0</v>
      </c>
      <c r="AM73" s="183" t="str">
        <f>AM72</f>
        <v/>
      </c>
      <c r="AN73" s="54"/>
      <c r="AO73" s="267"/>
      <c r="AP73" s="242" t="str">
        <f t="shared" si="22"/>
        <v/>
      </c>
      <c r="AQ73" s="242" t="str">
        <f t="shared" ref="AQ73:AV73" si="102">IF(F73="",AP73,F73)</f>
        <v/>
      </c>
      <c r="AR73" s="242" t="str">
        <f t="shared" si="102"/>
        <v/>
      </c>
      <c r="AS73" s="242" t="str">
        <f t="shared" si="102"/>
        <v/>
      </c>
      <c r="AT73" s="242" t="str">
        <f t="shared" si="102"/>
        <v/>
      </c>
      <c r="AU73" s="242" t="str">
        <f t="shared" si="102"/>
        <v/>
      </c>
      <c r="AV73" s="242" t="str">
        <f t="shared" si="102"/>
        <v/>
      </c>
      <c r="AW73" s="268" t="str">
        <f t="shared" si="30"/>
        <v/>
      </c>
      <c r="AX73" s="269"/>
      <c r="AY73" s="270"/>
      <c r="AZ73" s="271"/>
      <c r="BA73" s="246"/>
      <c r="BB73" s="246"/>
      <c r="BC73" s="263"/>
      <c r="BD73" s="66"/>
      <c r="BE73" s="69"/>
      <c r="BF73" s="54"/>
      <c r="BG73" s="54"/>
      <c r="BH73" s="54"/>
      <c r="BI73" s="54"/>
      <c r="BK73" s="173"/>
      <c r="BM73" s="173"/>
      <c r="BN73" s="175"/>
      <c r="BO73" s="253" t="str">
        <f>IFERROR(__xludf.DUMMYFUNCTION("""COMPUTED_VALUE"""),"")</f>
        <v/>
      </c>
      <c r="BP73" s="250" t="str">
        <f t="shared" si="36"/>
        <v/>
      </c>
      <c r="BQ73" s="253" t="str">
        <f>IFERROR(__xludf.DUMMYFUNCTION("""COMPUTED_VALUE"""),"")</f>
        <v/>
      </c>
      <c r="BR73" s="250"/>
      <c r="BS73" s="250" t="str">
        <f t="shared" si="15"/>
        <v/>
      </c>
      <c r="BT73" s="250" t="str">
        <f t="shared" si="37"/>
        <v/>
      </c>
      <c r="BU73" s="253" t="str">
        <f t="shared" si="33"/>
        <v/>
      </c>
      <c r="BV73" s="254" t="b">
        <f t="shared" si="17"/>
        <v>0</v>
      </c>
      <c r="BW73" s="175" t="str">
        <f t="shared" si="38"/>
        <v/>
      </c>
      <c r="BX73" s="44" t="b">
        <f t="shared" si="19"/>
        <v>0</v>
      </c>
      <c r="BY73" s="202" t="b">
        <f t="shared" si="20"/>
        <v>0</v>
      </c>
      <c r="BZ73" s="203">
        <f t="shared" si="25"/>
        <v>0</v>
      </c>
      <c r="CA73" s="175">
        <f t="shared" si="26"/>
        <v>0</v>
      </c>
      <c r="CB73" s="175"/>
      <c r="CC73" s="173"/>
      <c r="CD73" s="173"/>
    </row>
    <row r="74" ht="15.75" customHeight="1">
      <c r="A74" s="11"/>
      <c r="B74" s="221" t="str">
        <f>IF(B72="","",B72+7)</f>
        <v/>
      </c>
      <c r="C74" s="222"/>
      <c r="D74" s="223" t="str">
        <f t="shared" si="27"/>
        <v>Weight</v>
      </c>
      <c r="E74" s="282"/>
      <c r="F74" s="282"/>
      <c r="G74" s="282"/>
      <c r="H74" s="282"/>
      <c r="I74" s="282"/>
      <c r="J74" s="282"/>
      <c r="K74" s="282"/>
      <c r="L74" s="284" t="str">
        <f t="shared" si="6"/>
        <v/>
      </c>
      <c r="M74" s="227"/>
      <c r="N74" s="228"/>
      <c r="O74" s="228"/>
      <c r="P74" s="228"/>
      <c r="Q74" s="276" t="str">
        <f>BL74</f>
        <v/>
      </c>
      <c r="R74" s="228"/>
      <c r="S74" s="230" t="str">
        <f>IFERROR(__xludf.DUMMYFUNCTION("IF(L74="""","""",(L74-index(filter($L$36:L72,$L$36:L72&lt;&gt;"""",ISEVEN(row($L$36:L72))),count(filter($L$36:L72,$L$36:L72&lt;&gt;"""",iseven(row($L$36:L72)))),1)))"),"")</f>
        <v/>
      </c>
      <c r="T74" s="231"/>
      <c r="U74" s="232" t="str">
        <f>if(BD$24=FALSE,"",IF(L74="","",BC74))</f>
        <v/>
      </c>
      <c r="V74" s="233"/>
      <c r="W74" s="234">
        <f>IF(count(S74:S75)&gt;1,1,0)</f>
        <v>0</v>
      </c>
      <c r="X74" s="235" t="str">
        <f>if(Y74="","","Week 20")</f>
        <v/>
      </c>
      <c r="Y74" s="236" t="str">
        <f>IF(S74="","",text(B74,"MMM-YY"))</f>
        <v/>
      </c>
      <c r="Z74" s="7"/>
      <c r="AA74" s="7"/>
      <c r="AC74" s="264" t="str">
        <f t="shared" si="8"/>
        <v/>
      </c>
      <c r="AD74" s="212">
        <f t="shared" ref="AD74:AI74" si="103">AC74+1</f>
        <v>1</v>
      </c>
      <c r="AE74" s="212">
        <f t="shared" si="103"/>
        <v>2</v>
      </c>
      <c r="AF74" s="212">
        <f t="shared" si="103"/>
        <v>3</v>
      </c>
      <c r="AG74" s="212">
        <f t="shared" si="103"/>
        <v>4</v>
      </c>
      <c r="AH74" s="212">
        <f t="shared" si="103"/>
        <v>5</v>
      </c>
      <c r="AI74" s="265">
        <f t="shared" si="103"/>
        <v>6</v>
      </c>
      <c r="AJ74" s="266">
        <f>AJ72+1</f>
        <v>20</v>
      </c>
      <c r="AK74" s="277">
        <v>19.0</v>
      </c>
      <c r="AL74" s="54">
        <f t="shared" si="10"/>
        <v>0</v>
      </c>
      <c r="AM74" s="198" t="str">
        <f>IF(K74="",AM72,K74)</f>
        <v/>
      </c>
      <c r="AN74" s="54"/>
      <c r="AO74" s="241"/>
      <c r="AP74" s="242" t="str">
        <f t="shared" si="22"/>
        <v/>
      </c>
      <c r="AQ74" s="242" t="str">
        <f t="shared" ref="AQ74:AV74" si="104">IF(F74="",AP74,F74)</f>
        <v/>
      </c>
      <c r="AR74" s="242" t="str">
        <f t="shared" si="104"/>
        <v/>
      </c>
      <c r="AS74" s="242" t="str">
        <f t="shared" si="104"/>
        <v/>
      </c>
      <c r="AT74" s="242" t="str">
        <f t="shared" si="104"/>
        <v/>
      </c>
      <c r="AU74" s="242" t="str">
        <f t="shared" si="104"/>
        <v/>
      </c>
      <c r="AV74" s="242" t="str">
        <f t="shared" si="104"/>
        <v/>
      </c>
      <c r="AW74" s="278" t="str">
        <f t="shared" si="30"/>
        <v/>
      </c>
      <c r="AX74" s="244">
        <f>if(AND(AW74=AX$34,$AL74&gt;0),ROW(),0)</f>
        <v>0</v>
      </c>
      <c r="AY74" s="244">
        <f>if(AND(AW74=AY$34,$AL74&gt;0),ROW(),0)</f>
        <v>0</v>
      </c>
      <c r="AZ74" s="279" t="str">
        <f>IF(AW74="","",AW74-AW72)</f>
        <v/>
      </c>
      <c r="BA74" s="246">
        <f>if(BB74&gt;0,row(),0)</f>
        <v>74</v>
      </c>
      <c r="BB74" s="246">
        <f>max(if(E74=AW$30,COLUMN(E74),0),if(F74=AW$30,COLUMN(F74),0),if(G74=AW$30,COLUMN(G74),0),if(H74=AW$30,COLUMN(H74),0),if(I74=AW$30,COLUMN(I74),0),if(J74=AW$30,COLUMN(J74),0),if(K74=AW$30,COLUMN(K74),0))</f>
        <v>11</v>
      </c>
      <c r="BC74" s="247" t="str">
        <f>IF(BD74="","",IF(AZ74="","",BD74))</f>
        <v/>
      </c>
      <c r="BD74" s="248">
        <f>IF(AL74=0,BD72,IF(AL75=0,BD72,((AW75+(((-AZ74)*$BD$7)/AL75)+sum($BE$38:BE72))/AK74)))</f>
        <v>0</v>
      </c>
      <c r="BE74" s="249">
        <f>IF(AL74=0,BE72,IF(AL75=0,BE72,AW75+(((-AZ74)*$BD$7)/AL75)))</f>
        <v>0</v>
      </c>
      <c r="BF74" s="54"/>
      <c r="BG74" s="54"/>
      <c r="BH74" s="54"/>
      <c r="BI74" s="54"/>
      <c r="BJ74" s="173" t="str">
        <f>text(B74,"YYYY MMM")</f>
        <v/>
      </c>
      <c r="BK74" s="173"/>
      <c r="BL74" s="174" t="str">
        <f>if($G$13="Disable","", if($G$9="","",if(and($G$9="Male",count($N74:$O74)&lt;&gt;2),"",
if(and($G$9="Male",count($N74:$O74)=2),round(if($N74="","",
     if($G$14="cm",86.01*log($N74-$O74)-70.041*log($G$15)+30.3,
     if($G$14="inch",86.01*log(($N74-$O74)*2.54)-70.041*log($G$15*2.54)+30.3))),0),                                         
if(and($G$9="Female",count($N74:$P74)&lt;&gt;3),"",
if(and($G$9="Female",count($N74:$P74)=3),round(if($N74="","",
        if($G$14="cm",495/(1.29579-0.35004*log10($N74+$P74-$O74)+0.221 * log10($G$15))-450,
        if($G$14="inch",495/(1.29579-0.35004*log10(($N74+$P74-$O74)*2.54)+0.221 * log10($G$15*2.54))-450))),0)))))))</f>
        <v/>
      </c>
      <c r="BM74" s="173"/>
      <c r="BN74" s="175"/>
      <c r="BO74" s="253" t="str">
        <f>IFERROR(__xludf.DUMMYFUNCTION("""COMPUTED_VALUE"""),"")</f>
        <v/>
      </c>
      <c r="BP74" s="250" t="str">
        <f t="shared" si="36"/>
        <v/>
      </c>
      <c r="BQ74" s="253" t="str">
        <f>IFERROR(__xludf.DUMMYFUNCTION("""COMPUTED_VALUE"""),"")</f>
        <v/>
      </c>
      <c r="BR74" s="250"/>
      <c r="BS74" s="250" t="str">
        <f t="shared" si="15"/>
        <v/>
      </c>
      <c r="BT74" s="250" t="str">
        <f t="shared" si="37"/>
        <v/>
      </c>
      <c r="BU74" s="253" t="str">
        <f t="shared" si="33"/>
        <v/>
      </c>
      <c r="BV74" s="254" t="b">
        <f t="shared" si="17"/>
        <v>0</v>
      </c>
      <c r="BW74" s="175" t="str">
        <f t="shared" si="38"/>
        <v/>
      </c>
      <c r="BX74" s="44" t="b">
        <f t="shared" si="19"/>
        <v>0</v>
      </c>
      <c r="BY74" s="202" t="b">
        <f t="shared" si="20"/>
        <v>0</v>
      </c>
      <c r="BZ74" s="203">
        <f t="shared" si="25"/>
        <v>0</v>
      </c>
      <c r="CA74" s="175">
        <f t="shared" si="26"/>
        <v>0</v>
      </c>
      <c r="CB74" s="175"/>
      <c r="CC74" s="173"/>
      <c r="CD74" s="173"/>
    </row>
    <row r="75" ht="15.75" customHeight="1">
      <c r="A75" s="11"/>
      <c r="B75" s="255"/>
      <c r="C75" s="256"/>
      <c r="D75" s="257" t="str">
        <f t="shared" si="27"/>
        <v>Calories</v>
      </c>
      <c r="E75" s="258"/>
      <c r="F75" s="280"/>
      <c r="G75" s="280"/>
      <c r="H75" s="280"/>
      <c r="I75" s="280"/>
      <c r="J75" s="280"/>
      <c r="K75" s="280"/>
      <c r="L75" s="260" t="str">
        <f t="shared" si="6"/>
        <v/>
      </c>
      <c r="M75" s="261"/>
      <c r="N75" s="255"/>
      <c r="O75" s="255"/>
      <c r="P75" s="255"/>
      <c r="Q75" s="255"/>
      <c r="R75" s="255"/>
      <c r="S75" s="255"/>
      <c r="T75" s="231"/>
      <c r="U75" s="255"/>
      <c r="V75" s="233"/>
      <c r="W75" s="262"/>
      <c r="X75" s="262"/>
      <c r="Y75" s="263"/>
      <c r="Z75" s="7"/>
      <c r="AA75" s="7"/>
      <c r="AC75" s="264" t="str">
        <f t="shared" si="8"/>
        <v/>
      </c>
      <c r="AD75" s="212">
        <f t="shared" ref="AD75:AI75" si="105">AC75+1</f>
        <v>1</v>
      </c>
      <c r="AE75" s="212">
        <f t="shared" si="105"/>
        <v>2</v>
      </c>
      <c r="AF75" s="212">
        <f t="shared" si="105"/>
        <v>3</v>
      </c>
      <c r="AG75" s="212">
        <f t="shared" si="105"/>
        <v>4</v>
      </c>
      <c r="AH75" s="212">
        <f t="shared" si="105"/>
        <v>5</v>
      </c>
      <c r="AI75" s="265">
        <f t="shared" si="105"/>
        <v>6</v>
      </c>
      <c r="AJ75" s="266">
        <f>AJ74+0.5</f>
        <v>20.5</v>
      </c>
      <c r="AK75" s="69"/>
      <c r="AL75" s="54">
        <f t="shared" si="10"/>
        <v>0</v>
      </c>
      <c r="AM75" s="183" t="str">
        <f>AM74</f>
        <v/>
      </c>
      <c r="AN75" s="54"/>
      <c r="AO75" s="267"/>
      <c r="AP75" s="242" t="str">
        <f t="shared" si="22"/>
        <v/>
      </c>
      <c r="AQ75" s="242" t="str">
        <f t="shared" ref="AQ75:AV75" si="106">IF(F75="",AP75,F75)</f>
        <v/>
      </c>
      <c r="AR75" s="242" t="str">
        <f t="shared" si="106"/>
        <v/>
      </c>
      <c r="AS75" s="242" t="str">
        <f t="shared" si="106"/>
        <v/>
      </c>
      <c r="AT75" s="242" t="str">
        <f t="shared" si="106"/>
        <v/>
      </c>
      <c r="AU75" s="242" t="str">
        <f t="shared" si="106"/>
        <v/>
      </c>
      <c r="AV75" s="242" t="str">
        <f t="shared" si="106"/>
        <v/>
      </c>
      <c r="AW75" s="268" t="str">
        <f t="shared" si="30"/>
        <v/>
      </c>
      <c r="AX75" s="269"/>
      <c r="AY75" s="270"/>
      <c r="AZ75" s="271"/>
      <c r="BA75" s="246"/>
      <c r="BB75" s="246"/>
      <c r="BC75" s="263"/>
      <c r="BD75" s="66"/>
      <c r="BE75" s="69"/>
      <c r="BF75" s="54"/>
      <c r="BG75" s="54"/>
      <c r="BH75" s="54"/>
      <c r="BI75" s="54"/>
      <c r="BK75" s="173"/>
      <c r="BM75" s="173"/>
      <c r="BN75" s="175"/>
      <c r="BO75" s="253" t="str">
        <f>IFERROR(__xludf.DUMMYFUNCTION("""COMPUTED_VALUE"""),"")</f>
        <v/>
      </c>
      <c r="BP75" s="250" t="str">
        <f t="shared" si="36"/>
        <v/>
      </c>
      <c r="BQ75" s="253" t="str">
        <f>IFERROR(__xludf.DUMMYFUNCTION("""COMPUTED_VALUE"""),"")</f>
        <v/>
      </c>
      <c r="BR75" s="250"/>
      <c r="BS75" s="250" t="str">
        <f t="shared" si="15"/>
        <v/>
      </c>
      <c r="BT75" s="250" t="str">
        <f t="shared" si="37"/>
        <v/>
      </c>
      <c r="BU75" s="253" t="str">
        <f t="shared" si="33"/>
        <v/>
      </c>
      <c r="BV75" s="254" t="b">
        <f t="shared" si="17"/>
        <v>0</v>
      </c>
      <c r="BW75" s="175" t="str">
        <f t="shared" si="38"/>
        <v/>
      </c>
      <c r="BX75" s="44" t="b">
        <f t="shared" si="19"/>
        <v>0</v>
      </c>
      <c r="BY75" s="202" t="b">
        <f t="shared" si="20"/>
        <v>0</v>
      </c>
      <c r="BZ75" s="203">
        <f t="shared" si="25"/>
        <v>0</v>
      </c>
      <c r="CA75" s="175">
        <f t="shared" si="26"/>
        <v>0</v>
      </c>
      <c r="CB75" s="175"/>
      <c r="CC75" s="173"/>
      <c r="CD75" s="173"/>
    </row>
    <row r="76" ht="15.75" customHeight="1">
      <c r="A76" s="11"/>
      <c r="B76" s="221" t="str">
        <f>IF(B74="","",B74+7)</f>
        <v/>
      </c>
      <c r="C76" s="222"/>
      <c r="D76" s="223" t="str">
        <f t="shared" si="27"/>
        <v>Weight</v>
      </c>
      <c r="E76" s="272"/>
      <c r="F76" s="272"/>
      <c r="G76" s="272"/>
      <c r="H76" s="272"/>
      <c r="I76" s="272"/>
      <c r="J76" s="272"/>
      <c r="K76" s="272"/>
      <c r="L76" s="284" t="str">
        <f t="shared" si="6"/>
        <v/>
      </c>
      <c r="M76" s="227"/>
      <c r="N76" s="228"/>
      <c r="O76" s="228"/>
      <c r="P76" s="228"/>
      <c r="Q76" s="276" t="str">
        <f>BL76</f>
        <v/>
      </c>
      <c r="R76" s="228"/>
      <c r="S76" s="230" t="str">
        <f>IFERROR(__xludf.DUMMYFUNCTION("IF(L76="""","""",(L76-index(filter($L$36:L74,$L$36:L74&lt;&gt;"""",ISEVEN(row($L$36:L74))),count(filter($L$36:L74,$L$36:L74&lt;&gt;"""",iseven(row($L$36:L74)))),1)))"),"")</f>
        <v/>
      </c>
      <c r="T76" s="231"/>
      <c r="U76" s="232" t="str">
        <f>if(BD$24=FALSE,"",IF(L76="","",BC76))</f>
        <v/>
      </c>
      <c r="V76" s="233"/>
      <c r="W76" s="234">
        <f>IF(count(S76:S77)&gt;1,1,0)</f>
        <v>0</v>
      </c>
      <c r="X76" s="235" t="str">
        <f>if(Y76="","","Week 21")</f>
        <v/>
      </c>
      <c r="Y76" s="236" t="str">
        <f>IF(S76="","",text(B76,"MMM-YY"))</f>
        <v/>
      </c>
      <c r="Z76" s="7"/>
      <c r="AA76" s="7"/>
      <c r="AC76" s="264" t="str">
        <f t="shared" si="8"/>
        <v/>
      </c>
      <c r="AD76" s="212">
        <f t="shared" ref="AD76:AI76" si="107">AC76+1</f>
        <v>1</v>
      </c>
      <c r="AE76" s="212">
        <f t="shared" si="107"/>
        <v>2</v>
      </c>
      <c r="AF76" s="212">
        <f t="shared" si="107"/>
        <v>3</v>
      </c>
      <c r="AG76" s="212">
        <f t="shared" si="107"/>
        <v>4</v>
      </c>
      <c r="AH76" s="212">
        <f t="shared" si="107"/>
        <v>5</v>
      </c>
      <c r="AI76" s="265">
        <f t="shared" si="107"/>
        <v>6</v>
      </c>
      <c r="AJ76" s="266">
        <f>AJ74+1</f>
        <v>21</v>
      </c>
      <c r="AK76" s="277">
        <v>20.0</v>
      </c>
      <c r="AL76" s="54">
        <f t="shared" si="10"/>
        <v>0</v>
      </c>
      <c r="AM76" s="198" t="str">
        <f>IF(K76="",AM74,K76)</f>
        <v/>
      </c>
      <c r="AN76" s="54"/>
      <c r="AO76" s="241"/>
      <c r="AP76" s="242" t="str">
        <f t="shared" si="22"/>
        <v/>
      </c>
      <c r="AQ76" s="242" t="str">
        <f t="shared" ref="AQ76:AV76" si="108">IF(F76="",AP76,F76)</f>
        <v/>
      </c>
      <c r="AR76" s="242" t="str">
        <f t="shared" si="108"/>
        <v/>
      </c>
      <c r="AS76" s="242" t="str">
        <f t="shared" si="108"/>
        <v/>
      </c>
      <c r="AT76" s="242" t="str">
        <f t="shared" si="108"/>
        <v/>
      </c>
      <c r="AU76" s="242" t="str">
        <f t="shared" si="108"/>
        <v/>
      </c>
      <c r="AV76" s="242" t="str">
        <f t="shared" si="108"/>
        <v/>
      </c>
      <c r="AW76" s="278" t="str">
        <f t="shared" si="30"/>
        <v/>
      </c>
      <c r="AX76" s="244">
        <f>if(AND(AW76=AX$34,$AL76&gt;0),ROW(),0)</f>
        <v>0</v>
      </c>
      <c r="AY76" s="244">
        <f>if(AND(AW76=AY$34,$AL76&gt;0),ROW(),0)</f>
        <v>0</v>
      </c>
      <c r="AZ76" s="279" t="str">
        <f>IF(AW76="","",AW76-AW74)</f>
        <v/>
      </c>
      <c r="BA76" s="246">
        <f>if(BB76&gt;0,row(),0)</f>
        <v>76</v>
      </c>
      <c r="BB76" s="246">
        <f>max(if(E76=AW$30,COLUMN(E76),0),if(F76=AW$30,COLUMN(F76),0),if(G76=AW$30,COLUMN(G76),0),if(H76=AW$30,COLUMN(H76),0),if(I76=AW$30,COLUMN(I76),0),if(J76=AW$30,COLUMN(J76),0),if(K76=AW$30,COLUMN(K76),0))</f>
        <v>11</v>
      </c>
      <c r="BC76" s="247" t="str">
        <f>IF(BD76="","",IF(AZ76="","",BD76))</f>
        <v/>
      </c>
      <c r="BD76" s="248">
        <f>IF(AL76=0,BD74,IF(AL77=0,BD74,((AW77+(((-AZ76)*$BD$7)/AL77)+sum($BE$38:BE74))/AK76)))</f>
        <v>0</v>
      </c>
      <c r="BE76" s="249">
        <f>IF(AL76=0,BE74,IF(AL77=0,BE74,AW77+(((-AZ76)*$BD$7)/AL77)))</f>
        <v>0</v>
      </c>
      <c r="BF76" s="54"/>
      <c r="BG76" s="54"/>
      <c r="BH76" s="54"/>
      <c r="BI76" s="54"/>
      <c r="BJ76" s="173" t="str">
        <f>text(B76,"YYYY MMM")</f>
        <v/>
      </c>
      <c r="BK76" s="173"/>
      <c r="BL76" s="174" t="str">
        <f>if($G$13="Disable","", if($G$9="","",if(and($G$9="Male",count($N76:$O76)&lt;&gt;2),"",
if(and($G$9="Male",count($N76:$O76)=2),round(if($N76="","",
     if($G$14="cm",86.01*log($N76-$O76)-70.041*log($G$15)+30.3,
     if($G$14="inch",86.01*log(($N76-$O76)*2.54)-70.041*log($G$15*2.54)+30.3))),0),                                         
if(and($G$9="Female",count($N76:$P76)&lt;&gt;3),"",
if(and($G$9="Female",count($N76:$P76)=3),round(if($N76="","",
        if($G$14="cm",495/(1.29579-0.35004*log10($N76+$P76-$O76)+0.221 * log10($G$15))-450,
        if($G$14="inch",495/(1.29579-0.35004*log10(($N76+$P76-$O76)*2.54)+0.221 * log10($G$15*2.54))-450))),0)))))))</f>
        <v/>
      </c>
      <c r="BM76" s="173"/>
      <c r="BN76" s="175"/>
      <c r="BO76" s="253" t="str">
        <f>IFERROR(__xludf.DUMMYFUNCTION("""COMPUTED_VALUE"""),"")</f>
        <v/>
      </c>
      <c r="BP76" s="250" t="str">
        <f t="shared" si="36"/>
        <v/>
      </c>
      <c r="BQ76" s="253" t="str">
        <f>IFERROR(__xludf.DUMMYFUNCTION("""COMPUTED_VALUE"""),"")</f>
        <v/>
      </c>
      <c r="BR76" s="250"/>
      <c r="BS76" s="250" t="str">
        <f t="shared" si="15"/>
        <v/>
      </c>
      <c r="BT76" s="250" t="str">
        <f t="shared" si="37"/>
        <v/>
      </c>
      <c r="BU76" s="253" t="str">
        <f t="shared" si="33"/>
        <v/>
      </c>
      <c r="BV76" s="254" t="b">
        <f t="shared" si="17"/>
        <v>0</v>
      </c>
      <c r="BW76" s="175" t="str">
        <f t="shared" si="38"/>
        <v/>
      </c>
      <c r="BX76" s="44" t="b">
        <f t="shared" si="19"/>
        <v>0</v>
      </c>
      <c r="BY76" s="202" t="b">
        <f t="shared" si="20"/>
        <v>0</v>
      </c>
      <c r="BZ76" s="203">
        <f t="shared" si="25"/>
        <v>0</v>
      </c>
      <c r="CA76" s="175">
        <f t="shared" si="26"/>
        <v>0</v>
      </c>
      <c r="CB76" s="175"/>
      <c r="CC76" s="173"/>
      <c r="CD76" s="173"/>
    </row>
    <row r="77" ht="15.75" customHeight="1">
      <c r="A77" s="11"/>
      <c r="B77" s="255"/>
      <c r="C77" s="256"/>
      <c r="D77" s="257" t="str">
        <f t="shared" si="27"/>
        <v>Calories</v>
      </c>
      <c r="E77" s="258"/>
      <c r="F77" s="280"/>
      <c r="G77" s="280"/>
      <c r="H77" s="280"/>
      <c r="I77" s="280"/>
      <c r="J77" s="280"/>
      <c r="K77" s="280"/>
      <c r="L77" s="260" t="str">
        <f t="shared" si="6"/>
        <v/>
      </c>
      <c r="M77" s="261"/>
      <c r="N77" s="255"/>
      <c r="O77" s="255"/>
      <c r="P77" s="255"/>
      <c r="Q77" s="255"/>
      <c r="R77" s="255"/>
      <c r="S77" s="255"/>
      <c r="T77" s="231"/>
      <c r="U77" s="255"/>
      <c r="V77" s="233"/>
      <c r="W77" s="262"/>
      <c r="X77" s="262"/>
      <c r="Y77" s="263"/>
      <c r="Z77" s="7"/>
      <c r="AA77" s="7"/>
      <c r="AC77" s="264" t="str">
        <f t="shared" si="8"/>
        <v/>
      </c>
      <c r="AD77" s="212">
        <f t="shared" ref="AD77:AI77" si="109">AC77+1</f>
        <v>1</v>
      </c>
      <c r="AE77" s="212">
        <f t="shared" si="109"/>
        <v>2</v>
      </c>
      <c r="AF77" s="212">
        <f t="shared" si="109"/>
        <v>3</v>
      </c>
      <c r="AG77" s="212">
        <f t="shared" si="109"/>
        <v>4</v>
      </c>
      <c r="AH77" s="212">
        <f t="shared" si="109"/>
        <v>5</v>
      </c>
      <c r="AI77" s="265">
        <f t="shared" si="109"/>
        <v>6</v>
      </c>
      <c r="AJ77" s="266">
        <f>AJ76+0.5</f>
        <v>21.5</v>
      </c>
      <c r="AK77" s="69"/>
      <c r="AL77" s="54">
        <f t="shared" si="10"/>
        <v>0</v>
      </c>
      <c r="AM77" s="183" t="str">
        <f>AM76</f>
        <v/>
      </c>
      <c r="AN77" s="54"/>
      <c r="AO77" s="267"/>
      <c r="AP77" s="242" t="str">
        <f t="shared" si="22"/>
        <v/>
      </c>
      <c r="AQ77" s="242" t="str">
        <f t="shared" ref="AQ77:AV77" si="110">IF(F77="",AP77,F77)</f>
        <v/>
      </c>
      <c r="AR77" s="242" t="str">
        <f t="shared" si="110"/>
        <v/>
      </c>
      <c r="AS77" s="242" t="str">
        <f t="shared" si="110"/>
        <v/>
      </c>
      <c r="AT77" s="242" t="str">
        <f t="shared" si="110"/>
        <v/>
      </c>
      <c r="AU77" s="242" t="str">
        <f t="shared" si="110"/>
        <v/>
      </c>
      <c r="AV77" s="242" t="str">
        <f t="shared" si="110"/>
        <v/>
      </c>
      <c r="AW77" s="268" t="str">
        <f t="shared" si="30"/>
        <v/>
      </c>
      <c r="AX77" s="269"/>
      <c r="AY77" s="270"/>
      <c r="AZ77" s="271"/>
      <c r="BA77" s="246"/>
      <c r="BB77" s="246"/>
      <c r="BC77" s="263"/>
      <c r="BD77" s="66"/>
      <c r="BE77" s="69"/>
      <c r="BF77" s="54"/>
      <c r="BG77" s="54"/>
      <c r="BH77" s="54"/>
      <c r="BI77" s="54"/>
      <c r="BK77" s="173"/>
      <c r="BM77" s="173"/>
      <c r="BN77" s="175"/>
      <c r="BO77" s="253" t="str">
        <f>IFERROR(__xludf.DUMMYFUNCTION("""COMPUTED_VALUE"""),"")</f>
        <v/>
      </c>
      <c r="BP77" s="250" t="str">
        <f t="shared" si="36"/>
        <v/>
      </c>
      <c r="BQ77" s="253" t="str">
        <f>IFERROR(__xludf.DUMMYFUNCTION("""COMPUTED_VALUE"""),"")</f>
        <v/>
      </c>
      <c r="BR77" s="250"/>
      <c r="BS77" s="250" t="str">
        <f t="shared" si="15"/>
        <v/>
      </c>
      <c r="BT77" s="250" t="str">
        <f t="shared" si="37"/>
        <v/>
      </c>
      <c r="BU77" s="253" t="str">
        <f t="shared" si="33"/>
        <v/>
      </c>
      <c r="BV77" s="254" t="b">
        <f t="shared" si="17"/>
        <v>0</v>
      </c>
      <c r="BW77" s="175" t="str">
        <f t="shared" si="38"/>
        <v/>
      </c>
      <c r="BX77" s="44" t="b">
        <f t="shared" si="19"/>
        <v>0</v>
      </c>
      <c r="BY77" s="202" t="b">
        <f t="shared" si="20"/>
        <v>0</v>
      </c>
      <c r="BZ77" s="203">
        <f t="shared" si="25"/>
        <v>0</v>
      </c>
      <c r="CA77" s="175">
        <f t="shared" si="26"/>
        <v>0</v>
      </c>
      <c r="CB77" s="175"/>
      <c r="CC77" s="173"/>
      <c r="CD77" s="173"/>
    </row>
    <row r="78">
      <c r="A78" s="11"/>
      <c r="B78" s="221" t="str">
        <f>IF(B76="","",B76+7)</f>
        <v/>
      </c>
      <c r="C78" s="222"/>
      <c r="D78" s="223" t="str">
        <f t="shared" si="27"/>
        <v>Weight</v>
      </c>
      <c r="E78" s="272"/>
      <c r="F78" s="273"/>
      <c r="G78" s="274"/>
      <c r="H78" s="274"/>
      <c r="I78" s="274"/>
      <c r="J78" s="288"/>
      <c r="K78" s="288"/>
      <c r="L78" s="284" t="str">
        <f t="shared" si="6"/>
        <v/>
      </c>
      <c r="M78" s="227"/>
      <c r="N78" s="228"/>
      <c r="O78" s="228"/>
      <c r="P78" s="228"/>
      <c r="Q78" s="276" t="str">
        <f>BL78</f>
        <v/>
      </c>
      <c r="R78" s="228"/>
      <c r="S78" s="230" t="str">
        <f>IFERROR(__xludf.DUMMYFUNCTION("IF(L78="""","""",(L78-index(filter($L$36:L76,$L$36:L76&lt;&gt;"""",ISEVEN(row($L$36:L76))),count(filter($L$36:L76,$L$36:L76&lt;&gt;"""",iseven(row($L$36:L76)))),1)))"),"")</f>
        <v/>
      </c>
      <c r="T78" s="231"/>
      <c r="U78" s="232" t="str">
        <f>if(BD$24=FALSE,"",IF(L78="","",BC78))</f>
        <v/>
      </c>
      <c r="V78" s="233"/>
      <c r="W78" s="234">
        <f>IF(count(S78:S79)&gt;1,1,0)</f>
        <v>0</v>
      </c>
      <c r="X78" s="235" t="str">
        <f>if(Y78="","","Week 22")</f>
        <v/>
      </c>
      <c r="Y78" s="236" t="str">
        <f>IF(S78="","",text(B78,"MMM-YY"))</f>
        <v/>
      </c>
      <c r="Z78" s="7"/>
      <c r="AA78" s="7"/>
      <c r="AC78" s="264" t="str">
        <f t="shared" si="8"/>
        <v/>
      </c>
      <c r="AD78" s="212">
        <f t="shared" ref="AD78:AI78" si="111">AC78+1</f>
        <v>1</v>
      </c>
      <c r="AE78" s="212">
        <f t="shared" si="111"/>
        <v>2</v>
      </c>
      <c r="AF78" s="212">
        <f t="shared" si="111"/>
        <v>3</v>
      </c>
      <c r="AG78" s="212">
        <f t="shared" si="111"/>
        <v>4</v>
      </c>
      <c r="AH78" s="212">
        <f t="shared" si="111"/>
        <v>5</v>
      </c>
      <c r="AI78" s="265">
        <f t="shared" si="111"/>
        <v>6</v>
      </c>
      <c r="AJ78" s="266">
        <f>AJ76+1</f>
        <v>22</v>
      </c>
      <c r="AK78" s="277">
        <v>21.0</v>
      </c>
      <c r="AL78" s="54">
        <f t="shared" si="10"/>
        <v>0</v>
      </c>
      <c r="AM78" s="198" t="str">
        <f>IF(K78="",AM76,K78)</f>
        <v/>
      </c>
      <c r="AN78" s="54"/>
      <c r="AO78" s="241"/>
      <c r="AP78" s="242" t="str">
        <f t="shared" si="22"/>
        <v/>
      </c>
      <c r="AQ78" s="242" t="str">
        <f t="shared" ref="AQ78:AV78" si="112">IF(F78="",AP78,F78)</f>
        <v/>
      </c>
      <c r="AR78" s="242" t="str">
        <f t="shared" si="112"/>
        <v/>
      </c>
      <c r="AS78" s="242" t="str">
        <f t="shared" si="112"/>
        <v/>
      </c>
      <c r="AT78" s="242" t="str">
        <f t="shared" si="112"/>
        <v/>
      </c>
      <c r="AU78" s="242" t="str">
        <f t="shared" si="112"/>
        <v/>
      </c>
      <c r="AV78" s="242" t="str">
        <f t="shared" si="112"/>
        <v/>
      </c>
      <c r="AW78" s="278" t="str">
        <f t="shared" si="30"/>
        <v/>
      </c>
      <c r="AX78" s="244">
        <f>if(AND(AW78=AX$34,$AL78&gt;0),ROW(),0)</f>
        <v>0</v>
      </c>
      <c r="AY78" s="244">
        <f>if(AND(AW78=AY$34,$AL78&gt;0),ROW(),0)</f>
        <v>0</v>
      </c>
      <c r="AZ78" s="279" t="str">
        <f>IF(AW78="","",AW78-AW76)</f>
        <v/>
      </c>
      <c r="BA78" s="246">
        <f>if(BB78&gt;0,row(),0)</f>
        <v>78</v>
      </c>
      <c r="BB78" s="246">
        <f>max(if(E78=AW$30,COLUMN(E78),0),if(F78=AW$30,COLUMN(F78),0),if(G78=AW$30,COLUMN(G78),0),if(H78=AW$30,COLUMN(H78),0),if(I78=AW$30,COLUMN(I78),0),if(J78=AW$30,COLUMN(J78),0),if(K78=AW$30,COLUMN(K78),0))</f>
        <v>11</v>
      </c>
      <c r="BC78" s="247" t="str">
        <f>IF(BD78="","",IF(AZ78="","",BD78))</f>
        <v/>
      </c>
      <c r="BD78" s="248">
        <f>IF(AL78=0,BD76,IF(AL79=0,BD76,((AW79+(((-AZ78)*$BD$7)/AL79)+sum($BE$38:BE76))/AK78)))</f>
        <v>0</v>
      </c>
      <c r="BE78" s="249">
        <f>IF(AL78=0,BE76,IF(AL79=0,BE76,AW79+(((-AZ78)*$BD$7)/AL79)))</f>
        <v>0</v>
      </c>
      <c r="BF78" s="54"/>
      <c r="BG78" s="54"/>
      <c r="BH78" s="54"/>
      <c r="BI78" s="54"/>
      <c r="BJ78" s="173" t="str">
        <f>text(B78,"YYYY MMM")</f>
        <v/>
      </c>
      <c r="BK78" s="173"/>
      <c r="BL78" s="174" t="str">
        <f>if($G$13="Disable","", if($G$9="","",if(and($G$9="Male",count($N78:$O78)&lt;&gt;2),"",
if(and($G$9="Male",count($N78:$O78)=2),round(if($N78="","",
     if($G$14="cm",86.01*log($N78-$O78)-70.041*log($G$15)+30.3,
     if($G$14="inch",86.01*log(($N78-$O78)*2.54)-70.041*log($G$15*2.54)+30.3))),0),                                         
if(and($G$9="Female",count($N78:$P78)&lt;&gt;3),"",
if(and($G$9="Female",count($N78:$P78)=3),round(if($N78="","",
        if($G$14="cm",495/(1.29579-0.35004*log10($N78+$P78-$O78)+0.221 * log10($G$15))-450,
        if($G$14="inch",495/(1.29579-0.35004*log10(($N78+$P78-$O78)*2.54)+0.221 * log10($G$15*2.54))-450))),0)))))))</f>
        <v/>
      </c>
      <c r="BM78" s="173"/>
      <c r="BN78" s="175"/>
      <c r="BO78" s="253" t="str">
        <f>IFERROR(__xludf.DUMMYFUNCTION("""COMPUTED_VALUE"""),"")</f>
        <v/>
      </c>
      <c r="BP78" s="250" t="str">
        <f t="shared" si="36"/>
        <v/>
      </c>
      <c r="BQ78" s="253" t="str">
        <f>IFERROR(__xludf.DUMMYFUNCTION("""COMPUTED_VALUE"""),"")</f>
        <v/>
      </c>
      <c r="BR78" s="250"/>
      <c r="BS78" s="250" t="str">
        <f t="shared" si="15"/>
        <v/>
      </c>
      <c r="BT78" s="250" t="str">
        <f t="shared" si="37"/>
        <v/>
      </c>
      <c r="BU78" s="253" t="str">
        <f t="shared" si="33"/>
        <v/>
      </c>
      <c r="BV78" s="254" t="b">
        <f t="shared" si="17"/>
        <v>0</v>
      </c>
      <c r="BW78" s="175" t="str">
        <f t="shared" si="38"/>
        <v/>
      </c>
      <c r="BX78" s="44" t="b">
        <f t="shared" si="19"/>
        <v>0</v>
      </c>
      <c r="BY78" s="202" t="b">
        <f t="shared" si="20"/>
        <v>0</v>
      </c>
      <c r="BZ78" s="203">
        <f t="shared" si="25"/>
        <v>0</v>
      </c>
      <c r="CA78" s="175">
        <f t="shared" si="26"/>
        <v>0</v>
      </c>
      <c r="CB78" s="175"/>
      <c r="CC78" s="173"/>
      <c r="CD78" s="173"/>
    </row>
    <row r="79">
      <c r="A79" s="11"/>
      <c r="B79" s="255"/>
      <c r="C79" s="256"/>
      <c r="D79" s="257" t="str">
        <f t="shared" si="27"/>
        <v>Calories</v>
      </c>
      <c r="E79" s="258"/>
      <c r="F79" s="280"/>
      <c r="G79" s="259"/>
      <c r="H79" s="259"/>
      <c r="I79" s="259"/>
      <c r="J79" s="259"/>
      <c r="K79" s="259"/>
      <c r="L79" s="260" t="str">
        <f t="shared" si="6"/>
        <v/>
      </c>
      <c r="M79" s="261"/>
      <c r="N79" s="255"/>
      <c r="O79" s="255"/>
      <c r="P79" s="255"/>
      <c r="Q79" s="255"/>
      <c r="R79" s="255"/>
      <c r="S79" s="255"/>
      <c r="T79" s="231"/>
      <c r="U79" s="255"/>
      <c r="V79" s="233"/>
      <c r="W79" s="262"/>
      <c r="X79" s="262"/>
      <c r="Y79" s="263"/>
      <c r="Z79" s="7"/>
      <c r="AA79" s="7"/>
      <c r="AC79" s="264" t="str">
        <f t="shared" si="8"/>
        <v/>
      </c>
      <c r="AD79" s="212">
        <f t="shared" ref="AD79:AI79" si="113">AC79+1</f>
        <v>1</v>
      </c>
      <c r="AE79" s="212">
        <f t="shared" si="113"/>
        <v>2</v>
      </c>
      <c r="AF79" s="212">
        <f t="shared" si="113"/>
        <v>3</v>
      </c>
      <c r="AG79" s="212">
        <f t="shared" si="113"/>
        <v>4</v>
      </c>
      <c r="AH79" s="212">
        <f t="shared" si="113"/>
        <v>5</v>
      </c>
      <c r="AI79" s="265">
        <f t="shared" si="113"/>
        <v>6</v>
      </c>
      <c r="AJ79" s="266">
        <f>AJ78+0.5</f>
        <v>22.5</v>
      </c>
      <c r="AK79" s="69"/>
      <c r="AL79" s="54">
        <f t="shared" si="10"/>
        <v>0</v>
      </c>
      <c r="AM79" s="183" t="str">
        <f>AM78</f>
        <v/>
      </c>
      <c r="AN79" s="54"/>
      <c r="AO79" s="267"/>
      <c r="AP79" s="242" t="str">
        <f t="shared" si="22"/>
        <v/>
      </c>
      <c r="AQ79" s="242" t="str">
        <f t="shared" ref="AQ79:AV79" si="114">IF(F79="",AP79,F79)</f>
        <v/>
      </c>
      <c r="AR79" s="242" t="str">
        <f t="shared" si="114"/>
        <v/>
      </c>
      <c r="AS79" s="242" t="str">
        <f t="shared" si="114"/>
        <v/>
      </c>
      <c r="AT79" s="242" t="str">
        <f t="shared" si="114"/>
        <v/>
      </c>
      <c r="AU79" s="242" t="str">
        <f t="shared" si="114"/>
        <v/>
      </c>
      <c r="AV79" s="242" t="str">
        <f t="shared" si="114"/>
        <v/>
      </c>
      <c r="AW79" s="268" t="str">
        <f t="shared" si="30"/>
        <v/>
      </c>
      <c r="AX79" s="269"/>
      <c r="AY79" s="270"/>
      <c r="AZ79" s="271"/>
      <c r="BA79" s="246"/>
      <c r="BB79" s="246"/>
      <c r="BC79" s="263"/>
      <c r="BD79" s="66"/>
      <c r="BE79" s="69"/>
      <c r="BF79" s="54"/>
      <c r="BG79" s="54"/>
      <c r="BH79" s="54"/>
      <c r="BI79" s="54"/>
      <c r="BK79" s="173"/>
      <c r="BM79" s="173"/>
      <c r="BN79" s="175"/>
      <c r="BO79" s="253" t="str">
        <f>IFERROR(__xludf.DUMMYFUNCTION("""COMPUTED_VALUE"""),"")</f>
        <v/>
      </c>
      <c r="BP79" s="250" t="str">
        <f t="shared" si="36"/>
        <v/>
      </c>
      <c r="BQ79" s="253" t="str">
        <f>IFERROR(__xludf.DUMMYFUNCTION("""COMPUTED_VALUE"""),"")</f>
        <v/>
      </c>
      <c r="BR79" s="250"/>
      <c r="BS79" s="250" t="str">
        <f t="shared" si="15"/>
        <v/>
      </c>
      <c r="BT79" s="250" t="str">
        <f t="shared" si="37"/>
        <v/>
      </c>
      <c r="BU79" s="253" t="str">
        <f t="shared" si="33"/>
        <v/>
      </c>
      <c r="BV79" s="254" t="b">
        <f t="shared" si="17"/>
        <v>0</v>
      </c>
      <c r="BW79" s="175" t="str">
        <f t="shared" si="38"/>
        <v/>
      </c>
      <c r="BX79" s="44" t="b">
        <f t="shared" si="19"/>
        <v>0</v>
      </c>
      <c r="BY79" s="202" t="b">
        <f t="shared" si="20"/>
        <v>0</v>
      </c>
      <c r="BZ79" s="203">
        <f t="shared" si="25"/>
        <v>0</v>
      </c>
      <c r="CA79" s="175">
        <f t="shared" si="26"/>
        <v>0</v>
      </c>
      <c r="CB79" s="175"/>
      <c r="CC79" s="173"/>
      <c r="CD79" s="173"/>
    </row>
    <row r="80" ht="15.75" customHeight="1">
      <c r="A80" s="11"/>
      <c r="B80" s="221" t="str">
        <f>IF(B78="","",B78+7)</f>
        <v/>
      </c>
      <c r="C80" s="222"/>
      <c r="D80" s="223" t="str">
        <f t="shared" si="27"/>
        <v>Weight</v>
      </c>
      <c r="E80" s="272"/>
      <c r="F80" s="273"/>
      <c r="G80" s="274"/>
      <c r="H80" s="274"/>
      <c r="I80" s="274"/>
      <c r="J80" s="274"/>
      <c r="K80" s="274"/>
      <c r="L80" s="284" t="str">
        <f t="shared" si="6"/>
        <v/>
      </c>
      <c r="M80" s="227"/>
      <c r="N80" s="228"/>
      <c r="O80" s="228"/>
      <c r="P80" s="228"/>
      <c r="Q80" s="276" t="str">
        <f>BL80</f>
        <v/>
      </c>
      <c r="R80" s="228"/>
      <c r="S80" s="230" t="str">
        <f>IFERROR(__xludf.DUMMYFUNCTION("IF(L80="""","""",(L80-index(filter($L$36:L78,$L$36:L78&lt;&gt;"""",ISEVEN(row($L$36:L78))),count(filter($L$36:L78,$L$36:L78&lt;&gt;"""",iseven(row($L$36:L78)))),1)))"),"")</f>
        <v/>
      </c>
      <c r="T80" s="231"/>
      <c r="U80" s="232" t="str">
        <f>if(BD$24=FALSE,"",IF(L80="","",BC80))</f>
        <v/>
      </c>
      <c r="V80" s="233"/>
      <c r="W80" s="234">
        <f>IF(count(S80:S81)&gt;1,1,0)</f>
        <v>0</v>
      </c>
      <c r="X80" s="235" t="str">
        <f>if(Y80="","","Week 23")</f>
        <v/>
      </c>
      <c r="Y80" s="236" t="str">
        <f>IF(S80="","",text(B80,"MMM-YY"))</f>
        <v/>
      </c>
      <c r="Z80" s="173"/>
      <c r="AA80" s="173"/>
      <c r="AC80" s="264" t="str">
        <f t="shared" si="8"/>
        <v/>
      </c>
      <c r="AD80" s="212">
        <f t="shared" ref="AD80:AI80" si="115">AC80+1</f>
        <v>1</v>
      </c>
      <c r="AE80" s="212">
        <f t="shared" si="115"/>
        <v>2</v>
      </c>
      <c r="AF80" s="212">
        <f t="shared" si="115"/>
        <v>3</v>
      </c>
      <c r="AG80" s="212">
        <f t="shared" si="115"/>
        <v>4</v>
      </c>
      <c r="AH80" s="212">
        <f t="shared" si="115"/>
        <v>5</v>
      </c>
      <c r="AI80" s="265">
        <f t="shared" si="115"/>
        <v>6</v>
      </c>
      <c r="AJ80" s="266">
        <f>AJ78+1</f>
        <v>23</v>
      </c>
      <c r="AK80" s="277">
        <v>22.0</v>
      </c>
      <c r="AL80" s="54">
        <f t="shared" si="10"/>
        <v>0</v>
      </c>
      <c r="AM80" s="198" t="str">
        <f>IF(K80="",AM78,K80)</f>
        <v/>
      </c>
      <c r="AN80" s="54"/>
      <c r="AO80" s="241"/>
      <c r="AP80" s="242" t="str">
        <f t="shared" si="22"/>
        <v/>
      </c>
      <c r="AQ80" s="242" t="str">
        <f t="shared" ref="AQ80:AV80" si="116">IF(F80="",AP80,F80)</f>
        <v/>
      </c>
      <c r="AR80" s="242" t="str">
        <f t="shared" si="116"/>
        <v/>
      </c>
      <c r="AS80" s="242" t="str">
        <f t="shared" si="116"/>
        <v/>
      </c>
      <c r="AT80" s="242" t="str">
        <f t="shared" si="116"/>
        <v/>
      </c>
      <c r="AU80" s="242" t="str">
        <f t="shared" si="116"/>
        <v/>
      </c>
      <c r="AV80" s="242" t="str">
        <f t="shared" si="116"/>
        <v/>
      </c>
      <c r="AW80" s="278" t="str">
        <f t="shared" si="30"/>
        <v/>
      </c>
      <c r="AX80" s="244">
        <f>if(AND(AW80=AX$34,$AL80&gt;0),ROW(),0)</f>
        <v>0</v>
      </c>
      <c r="AY80" s="244">
        <f>if(AND(AW80=AY$34,$AL80&gt;0),ROW(),0)</f>
        <v>0</v>
      </c>
      <c r="AZ80" s="279" t="str">
        <f>IF(AW80="","",AW80-AW78)</f>
        <v/>
      </c>
      <c r="BA80" s="246">
        <f>if(BB80&gt;0,row(),0)</f>
        <v>80</v>
      </c>
      <c r="BB80" s="246">
        <f>max(if(E80=AW$30,COLUMN(E80),0),if(F80=AW$30,COLUMN(F80),0),if(G80=AW$30,COLUMN(G80),0),if(H80=AW$30,COLUMN(H80),0),if(I80=AW$30,COLUMN(I80),0),if(J80=AW$30,COLUMN(J80),0),if(K80=AW$30,COLUMN(K80),0))</f>
        <v>11</v>
      </c>
      <c r="BC80" s="247" t="str">
        <f>IF(BD80="","",IF(AZ80="","",BD80))</f>
        <v/>
      </c>
      <c r="BD80" s="248">
        <f>IF(AL80=0,BD78,IF(AL81=0,BD78,((AW81+(((-AZ80)*$BD$7)/AL81)+sum($BE$38:BE78))/AK80)))</f>
        <v>0</v>
      </c>
      <c r="BE80" s="249">
        <f>IF(AL80=0,BE78,IF(AL81=0,BE78,AW81+(((-AZ80)*$BD$7)/AL81)))</f>
        <v>0</v>
      </c>
      <c r="BF80" s="54"/>
      <c r="BG80" s="54"/>
      <c r="BH80" s="54"/>
      <c r="BI80" s="54"/>
      <c r="BJ80" s="173" t="str">
        <f>text(B80,"YYYY MMM")</f>
        <v/>
      </c>
      <c r="BK80" s="173"/>
      <c r="BL80" s="174" t="str">
        <f>if($G$13="Disable","", if($G$9="","",if(and($G$9="Male",count($N80:$O80)&lt;&gt;2),"",
if(and($G$9="Male",count($N80:$O80)=2),round(if($N80="","",
     if($G$14="cm",86.01*log($N80-$O80)-70.041*log($G$15)+30.3,
     if($G$14="inch",86.01*log(($N80-$O80)*2.54)-70.041*log($G$15*2.54)+30.3))),0),                                         
if(and($G$9="Female",count($N80:$P80)&lt;&gt;3),"",
if(and($G$9="Female",count($N80:$P80)=3),round(if($N80="","",
        if($G$14="cm",495/(1.29579-0.35004*log10($N80+$P80-$O80)+0.221 * log10($G$15))-450,
        if($G$14="inch",495/(1.29579-0.35004*log10(($N80+$P80-$O80)*2.54)+0.221 * log10($G$15*2.54))-450))),0)))))))</f>
        <v/>
      </c>
      <c r="BM80" s="173"/>
      <c r="BN80" s="175"/>
      <c r="BO80" s="253" t="str">
        <f>IFERROR(__xludf.DUMMYFUNCTION("""COMPUTED_VALUE"""),"")</f>
        <v/>
      </c>
      <c r="BP80" s="250" t="str">
        <f t="shared" si="36"/>
        <v/>
      </c>
      <c r="BQ80" s="253" t="str">
        <f>IFERROR(__xludf.DUMMYFUNCTION("""COMPUTED_VALUE"""),"")</f>
        <v/>
      </c>
      <c r="BR80" s="250"/>
      <c r="BS80" s="250" t="str">
        <f t="shared" si="15"/>
        <v/>
      </c>
      <c r="BT80" s="250" t="str">
        <f t="shared" si="37"/>
        <v/>
      </c>
      <c r="BU80" s="253" t="str">
        <f t="shared" si="33"/>
        <v/>
      </c>
      <c r="BV80" s="254" t="b">
        <f t="shared" si="17"/>
        <v>0</v>
      </c>
      <c r="BW80" s="175" t="str">
        <f t="shared" si="38"/>
        <v/>
      </c>
      <c r="BX80" s="44" t="b">
        <f t="shared" si="19"/>
        <v>0</v>
      </c>
      <c r="BY80" s="202" t="b">
        <f t="shared" si="20"/>
        <v>0</v>
      </c>
      <c r="BZ80" s="203">
        <f t="shared" si="25"/>
        <v>0</v>
      </c>
      <c r="CA80" s="175">
        <f t="shared" si="26"/>
        <v>0</v>
      </c>
      <c r="CB80" s="175"/>
      <c r="CC80" s="173"/>
      <c r="CD80" s="173"/>
    </row>
    <row r="81" ht="15.75" customHeight="1">
      <c r="A81" s="11"/>
      <c r="B81" s="255"/>
      <c r="C81" s="256"/>
      <c r="D81" s="257" t="str">
        <f t="shared" si="27"/>
        <v>Calories</v>
      </c>
      <c r="E81" s="258"/>
      <c r="F81" s="280"/>
      <c r="G81" s="259"/>
      <c r="H81" s="259"/>
      <c r="I81" s="259"/>
      <c r="J81" s="259"/>
      <c r="K81" s="259"/>
      <c r="L81" s="260" t="str">
        <f t="shared" si="6"/>
        <v/>
      </c>
      <c r="M81" s="261"/>
      <c r="N81" s="255"/>
      <c r="O81" s="255"/>
      <c r="P81" s="255"/>
      <c r="Q81" s="255"/>
      <c r="R81" s="255"/>
      <c r="S81" s="255"/>
      <c r="T81" s="231"/>
      <c r="U81" s="255"/>
      <c r="V81" s="233"/>
      <c r="W81" s="262"/>
      <c r="X81" s="262"/>
      <c r="Y81" s="263"/>
      <c r="Z81" s="173"/>
      <c r="AA81" s="173"/>
      <c r="AB81" s="212" t="str">
        <f>B126</f>
        <v/>
      </c>
      <c r="AC81" s="264" t="str">
        <f t="shared" si="8"/>
        <v/>
      </c>
      <c r="AD81" s="212">
        <f t="shared" ref="AD81:AI81" si="117">AC81+1</f>
        <v>1</v>
      </c>
      <c r="AE81" s="212">
        <f t="shared" si="117"/>
        <v>2</v>
      </c>
      <c r="AF81" s="212">
        <f t="shared" si="117"/>
        <v>3</v>
      </c>
      <c r="AG81" s="212">
        <f t="shared" si="117"/>
        <v>4</v>
      </c>
      <c r="AH81" s="212">
        <f t="shared" si="117"/>
        <v>5</v>
      </c>
      <c r="AI81" s="265">
        <f t="shared" si="117"/>
        <v>6</v>
      </c>
      <c r="AJ81" s="266">
        <f>AJ80+0.5</f>
        <v>23.5</v>
      </c>
      <c r="AK81" s="69"/>
      <c r="AL81" s="54">
        <f t="shared" si="10"/>
        <v>0</v>
      </c>
      <c r="AM81" s="183" t="str">
        <f>AM80</f>
        <v/>
      </c>
      <c r="AN81" s="54"/>
      <c r="AO81" s="267"/>
      <c r="AP81" s="242" t="str">
        <f t="shared" si="22"/>
        <v/>
      </c>
      <c r="AQ81" s="242" t="str">
        <f t="shared" ref="AQ81:AV81" si="118">IF(F81="",AP81,F81)</f>
        <v/>
      </c>
      <c r="AR81" s="242" t="str">
        <f t="shared" si="118"/>
        <v/>
      </c>
      <c r="AS81" s="242" t="str">
        <f t="shared" si="118"/>
        <v/>
      </c>
      <c r="AT81" s="242" t="str">
        <f t="shared" si="118"/>
        <v/>
      </c>
      <c r="AU81" s="242" t="str">
        <f t="shared" si="118"/>
        <v/>
      </c>
      <c r="AV81" s="242" t="str">
        <f t="shared" si="118"/>
        <v/>
      </c>
      <c r="AW81" s="268" t="str">
        <f t="shared" si="30"/>
        <v/>
      </c>
      <c r="AX81" s="269"/>
      <c r="AY81" s="270"/>
      <c r="AZ81" s="271"/>
      <c r="BA81" s="246"/>
      <c r="BB81" s="246"/>
      <c r="BC81" s="263"/>
      <c r="BD81" s="66"/>
      <c r="BE81" s="69"/>
      <c r="BF81" s="54"/>
      <c r="BG81" s="54"/>
      <c r="BH81" s="54"/>
      <c r="BI81" s="54"/>
      <c r="BK81" s="173"/>
      <c r="BM81" s="173"/>
      <c r="BN81" s="175"/>
      <c r="BO81" s="253" t="str">
        <f>IFERROR(__xludf.DUMMYFUNCTION("""COMPUTED_VALUE"""),"")</f>
        <v/>
      </c>
      <c r="BP81" s="250" t="str">
        <f t="shared" si="36"/>
        <v/>
      </c>
      <c r="BQ81" s="253" t="str">
        <f>IFERROR(__xludf.DUMMYFUNCTION("""COMPUTED_VALUE"""),"")</f>
        <v/>
      </c>
      <c r="BR81" s="250"/>
      <c r="BS81" s="250" t="str">
        <f t="shared" si="15"/>
        <v/>
      </c>
      <c r="BT81" s="250" t="str">
        <f t="shared" si="37"/>
        <v/>
      </c>
      <c r="BU81" s="253" t="str">
        <f t="shared" si="33"/>
        <v/>
      </c>
      <c r="BV81" s="254" t="b">
        <f t="shared" si="17"/>
        <v>0</v>
      </c>
      <c r="BW81" s="175" t="str">
        <f t="shared" si="38"/>
        <v/>
      </c>
      <c r="BX81" s="44" t="b">
        <f t="shared" si="19"/>
        <v>0</v>
      </c>
      <c r="BY81" s="202" t="b">
        <f t="shared" si="20"/>
        <v>0</v>
      </c>
      <c r="BZ81" s="203">
        <f t="shared" si="25"/>
        <v>0</v>
      </c>
      <c r="CA81" s="175">
        <f t="shared" si="26"/>
        <v>0</v>
      </c>
      <c r="CB81" s="175"/>
      <c r="CC81" s="173"/>
      <c r="CD81" s="173"/>
    </row>
    <row r="82" ht="15.75" customHeight="1">
      <c r="A82" s="11"/>
      <c r="B82" s="221" t="str">
        <f>IF(B80="","",B80+7)</f>
        <v/>
      </c>
      <c r="C82" s="222"/>
      <c r="D82" s="223" t="str">
        <f t="shared" si="27"/>
        <v>Weight</v>
      </c>
      <c r="E82" s="272"/>
      <c r="F82" s="273"/>
      <c r="G82" s="274"/>
      <c r="H82" s="274"/>
      <c r="I82" s="274"/>
      <c r="J82" s="274"/>
      <c r="K82" s="274"/>
      <c r="L82" s="284" t="str">
        <f t="shared" si="6"/>
        <v/>
      </c>
      <c r="M82" s="227"/>
      <c r="N82" s="228"/>
      <c r="O82" s="228"/>
      <c r="P82" s="228"/>
      <c r="Q82" s="276" t="str">
        <f>BL82</f>
        <v/>
      </c>
      <c r="R82" s="228"/>
      <c r="S82" s="230" t="str">
        <f>IFERROR(__xludf.DUMMYFUNCTION("IF(L82="""","""",(L82-index(filter($L$36:L80,$L$36:L80&lt;&gt;"""",ISEVEN(row($L$36:L80))),count(filter($L$36:L80,$L$36:L80&lt;&gt;"""",iseven(row($L$36:L80)))),1)))"),"")</f>
        <v/>
      </c>
      <c r="T82" s="231"/>
      <c r="U82" s="232" t="str">
        <f>if(BD$24=FALSE,"",IF(L82="","",BC82))</f>
        <v/>
      </c>
      <c r="V82" s="233"/>
      <c r="W82" s="234">
        <f>IF(count(S82:S83)&gt;1,1,0)</f>
        <v>0</v>
      </c>
      <c r="X82" s="235" t="str">
        <f>if(Y82="","","Week 24")</f>
        <v/>
      </c>
      <c r="Y82" s="236" t="str">
        <f>IF(S82="","",text(B82,"MMM-YY"))</f>
        <v/>
      </c>
      <c r="Z82" s="173"/>
      <c r="AA82" s="173"/>
      <c r="AB82" s="212" t="str">
        <f>B128</f>
        <v/>
      </c>
      <c r="AC82" s="264" t="str">
        <f t="shared" si="8"/>
        <v/>
      </c>
      <c r="AD82" s="212">
        <f t="shared" ref="AD82:AI82" si="119">AC82+1</f>
        <v>1</v>
      </c>
      <c r="AE82" s="212">
        <f t="shared" si="119"/>
        <v>2</v>
      </c>
      <c r="AF82" s="212">
        <f t="shared" si="119"/>
        <v>3</v>
      </c>
      <c r="AG82" s="212">
        <f t="shared" si="119"/>
        <v>4</v>
      </c>
      <c r="AH82" s="212">
        <f t="shared" si="119"/>
        <v>5</v>
      </c>
      <c r="AI82" s="265">
        <f t="shared" si="119"/>
        <v>6</v>
      </c>
      <c r="AJ82" s="266">
        <f>AJ80+1</f>
        <v>24</v>
      </c>
      <c r="AK82" s="277">
        <v>23.0</v>
      </c>
      <c r="AL82" s="54">
        <f t="shared" si="10"/>
        <v>0</v>
      </c>
      <c r="AM82" s="198" t="str">
        <f>IF(K82="",AM80,K82)</f>
        <v/>
      </c>
      <c r="AN82" s="54"/>
      <c r="AO82" s="241"/>
      <c r="AP82" s="242" t="str">
        <f t="shared" si="22"/>
        <v/>
      </c>
      <c r="AQ82" s="242" t="str">
        <f t="shared" ref="AQ82:AV82" si="120">IF(F82="",AP82,F82)</f>
        <v/>
      </c>
      <c r="AR82" s="242" t="str">
        <f t="shared" si="120"/>
        <v/>
      </c>
      <c r="AS82" s="242" t="str">
        <f t="shared" si="120"/>
        <v/>
      </c>
      <c r="AT82" s="242" t="str">
        <f t="shared" si="120"/>
        <v/>
      </c>
      <c r="AU82" s="242" t="str">
        <f t="shared" si="120"/>
        <v/>
      </c>
      <c r="AV82" s="242" t="str">
        <f t="shared" si="120"/>
        <v/>
      </c>
      <c r="AW82" s="278" t="str">
        <f t="shared" si="30"/>
        <v/>
      </c>
      <c r="AX82" s="244">
        <f>if(AND(AW82=AX$34,$AL82&gt;0),ROW(),0)</f>
        <v>0</v>
      </c>
      <c r="AY82" s="244">
        <f>if(AND(AW82=AY$34,$AL82&gt;0),ROW(),0)</f>
        <v>0</v>
      </c>
      <c r="AZ82" s="279" t="str">
        <f>IF(AW82="","",AW82-AW80)</f>
        <v/>
      </c>
      <c r="BA82" s="246">
        <f>if(BB82&gt;0,row(),0)</f>
        <v>82</v>
      </c>
      <c r="BB82" s="246">
        <f>max(if(E82=AW$30,COLUMN(E82),0),if(F82=AW$30,COLUMN(F82),0),if(G82=AW$30,COLUMN(G82),0),if(H82=AW$30,COLUMN(H82),0),if(I82=AW$30,COLUMN(I82),0),if(J82=AW$30,COLUMN(J82),0),if(K82=AW$30,COLUMN(K82),0))</f>
        <v>11</v>
      </c>
      <c r="BC82" s="247" t="str">
        <f>IF(BD82="","",IF(AZ82="","",BD82))</f>
        <v/>
      </c>
      <c r="BD82" s="248">
        <f>IF(AL82=0,BD80,IF(AL83=0,BD80,((AW83+(((-AZ82)*$BD$7)/AL83)+sum($BE$38:BE80))/AK82)))</f>
        <v>0</v>
      </c>
      <c r="BE82" s="249">
        <f>IF(AL82=0,BE80,IF(AL83=0,BE80,AW83+(((-AZ82)*$BD$7)/AL83)))</f>
        <v>0</v>
      </c>
      <c r="BF82" s="54"/>
      <c r="BG82" s="54"/>
      <c r="BH82" s="54"/>
      <c r="BI82" s="54"/>
      <c r="BJ82" s="173" t="str">
        <f>text(B82,"YYYY MMM")</f>
        <v/>
      </c>
      <c r="BK82" s="173"/>
      <c r="BL82" s="174" t="str">
        <f>if($G$13="Disable","", if($G$9="","",if(and($G$9="Male",count($N82:$O82)&lt;&gt;2),"",
if(and($G$9="Male",count($N82:$O82)=2),round(if($N82="","",
     if($G$14="cm",86.01*log($N82-$O82)-70.041*log($G$15)+30.3,
     if($G$14="inch",86.01*log(($N82-$O82)*2.54)-70.041*log($G$15*2.54)+30.3))),0),                                         
if(and($G$9="Female",count($N82:$P82)&lt;&gt;3),"",
if(and($G$9="Female",count($N82:$P82)=3),round(if($N82="","",
        if($G$14="cm",495/(1.29579-0.35004*log10($N82+$P82-$O82)+0.221 * log10($G$15))-450,
        if($G$14="inch",495/(1.29579-0.35004*log10(($N82+$P82-$O82)*2.54)+0.221 * log10($G$15*2.54))-450))),0)))))))</f>
        <v/>
      </c>
      <c r="BM82" s="173"/>
      <c r="BN82" s="175"/>
      <c r="BO82" s="253" t="str">
        <f>IFERROR(__xludf.DUMMYFUNCTION("""COMPUTED_VALUE"""),"")</f>
        <v/>
      </c>
      <c r="BP82" s="250" t="str">
        <f t="shared" si="36"/>
        <v/>
      </c>
      <c r="BQ82" s="253" t="str">
        <f>IFERROR(__xludf.DUMMYFUNCTION("""COMPUTED_VALUE"""),"")</f>
        <v/>
      </c>
      <c r="BR82" s="250"/>
      <c r="BS82" s="250" t="str">
        <f t="shared" si="15"/>
        <v/>
      </c>
      <c r="BT82" s="250" t="str">
        <f t="shared" si="37"/>
        <v/>
      </c>
      <c r="BU82" s="253" t="str">
        <f t="shared" si="33"/>
        <v/>
      </c>
      <c r="BV82" s="254" t="b">
        <f t="shared" si="17"/>
        <v>0</v>
      </c>
      <c r="BW82" s="175" t="str">
        <f t="shared" si="38"/>
        <v/>
      </c>
      <c r="BX82" s="44" t="b">
        <f t="shared" si="19"/>
        <v>0</v>
      </c>
      <c r="BY82" s="202" t="b">
        <f t="shared" si="20"/>
        <v>0</v>
      </c>
      <c r="BZ82" s="203">
        <f t="shared" si="25"/>
        <v>0</v>
      </c>
      <c r="CA82" s="175">
        <f t="shared" si="26"/>
        <v>0</v>
      </c>
      <c r="CB82" s="175"/>
      <c r="CC82" s="173"/>
      <c r="CD82" s="173"/>
    </row>
    <row r="83" ht="15.75" customHeight="1">
      <c r="A83" s="11"/>
      <c r="B83" s="255"/>
      <c r="C83" s="256"/>
      <c r="D83" s="257" t="str">
        <f t="shared" si="27"/>
        <v>Calories</v>
      </c>
      <c r="E83" s="258"/>
      <c r="F83" s="280"/>
      <c r="G83" s="259"/>
      <c r="H83" s="259"/>
      <c r="I83" s="259"/>
      <c r="J83" s="259"/>
      <c r="K83" s="259"/>
      <c r="L83" s="260" t="str">
        <f t="shared" si="6"/>
        <v/>
      </c>
      <c r="M83" s="261"/>
      <c r="N83" s="255"/>
      <c r="O83" s="255"/>
      <c r="P83" s="255"/>
      <c r="Q83" s="255"/>
      <c r="R83" s="255"/>
      <c r="S83" s="255"/>
      <c r="T83" s="231"/>
      <c r="U83" s="255"/>
      <c r="V83" s="233"/>
      <c r="W83" s="262"/>
      <c r="X83" s="262"/>
      <c r="Y83" s="263"/>
      <c r="Z83" s="173"/>
      <c r="AA83" s="173"/>
      <c r="AB83" s="212" t="str">
        <f>B130</f>
        <v/>
      </c>
      <c r="AC83" s="264" t="str">
        <f t="shared" si="8"/>
        <v/>
      </c>
      <c r="AD83" s="212">
        <f t="shared" ref="AD83:AI83" si="121">AC83+1</f>
        <v>1</v>
      </c>
      <c r="AE83" s="212">
        <f t="shared" si="121"/>
        <v>2</v>
      </c>
      <c r="AF83" s="212">
        <f t="shared" si="121"/>
        <v>3</v>
      </c>
      <c r="AG83" s="212">
        <f t="shared" si="121"/>
        <v>4</v>
      </c>
      <c r="AH83" s="212">
        <f t="shared" si="121"/>
        <v>5</v>
      </c>
      <c r="AI83" s="265">
        <f t="shared" si="121"/>
        <v>6</v>
      </c>
      <c r="AJ83" s="266">
        <f>AJ82+0.5</f>
        <v>24.5</v>
      </c>
      <c r="AK83" s="69"/>
      <c r="AL83" s="54">
        <f t="shared" si="10"/>
        <v>0</v>
      </c>
      <c r="AM83" s="183" t="str">
        <f>AM82</f>
        <v/>
      </c>
      <c r="AN83" s="54"/>
      <c r="AO83" s="267"/>
      <c r="AP83" s="242" t="str">
        <f t="shared" si="22"/>
        <v/>
      </c>
      <c r="AQ83" s="242" t="str">
        <f t="shared" ref="AQ83:AV83" si="122">IF(F83="",AP83,F83)</f>
        <v/>
      </c>
      <c r="AR83" s="242" t="str">
        <f t="shared" si="122"/>
        <v/>
      </c>
      <c r="AS83" s="242" t="str">
        <f t="shared" si="122"/>
        <v/>
      </c>
      <c r="AT83" s="242" t="str">
        <f t="shared" si="122"/>
        <v/>
      </c>
      <c r="AU83" s="242" t="str">
        <f t="shared" si="122"/>
        <v/>
      </c>
      <c r="AV83" s="242" t="str">
        <f t="shared" si="122"/>
        <v/>
      </c>
      <c r="AW83" s="268" t="str">
        <f t="shared" si="30"/>
        <v/>
      </c>
      <c r="AX83" s="269"/>
      <c r="AY83" s="270"/>
      <c r="AZ83" s="271"/>
      <c r="BA83" s="246"/>
      <c r="BB83" s="246"/>
      <c r="BC83" s="263"/>
      <c r="BD83" s="66"/>
      <c r="BE83" s="69"/>
      <c r="BF83" s="54"/>
      <c r="BG83" s="54"/>
      <c r="BH83" s="54"/>
      <c r="BI83" s="54"/>
      <c r="BK83" s="173"/>
      <c r="BM83" s="173"/>
      <c r="BN83" s="175"/>
      <c r="BO83" s="253" t="str">
        <f>IFERROR(__xludf.DUMMYFUNCTION("""COMPUTED_VALUE"""),"")</f>
        <v/>
      </c>
      <c r="BP83" s="250" t="str">
        <f t="shared" si="36"/>
        <v/>
      </c>
      <c r="BQ83" s="253" t="str">
        <f>IFERROR(__xludf.DUMMYFUNCTION("""COMPUTED_VALUE"""),"")</f>
        <v/>
      </c>
      <c r="BR83" s="250"/>
      <c r="BS83" s="250" t="str">
        <f t="shared" si="15"/>
        <v/>
      </c>
      <c r="BT83" s="250" t="str">
        <f t="shared" si="37"/>
        <v/>
      </c>
      <c r="BU83" s="253" t="str">
        <f t="shared" si="33"/>
        <v/>
      </c>
      <c r="BV83" s="254" t="b">
        <f t="shared" si="17"/>
        <v>0</v>
      </c>
      <c r="BW83" s="175" t="str">
        <f t="shared" si="38"/>
        <v/>
      </c>
      <c r="BX83" s="44" t="b">
        <f t="shared" si="19"/>
        <v>0</v>
      </c>
      <c r="BY83" s="202" t="b">
        <f t="shared" si="20"/>
        <v>0</v>
      </c>
      <c r="BZ83" s="203">
        <f t="shared" si="25"/>
        <v>0</v>
      </c>
      <c r="CA83" s="175">
        <f t="shared" si="26"/>
        <v>0</v>
      </c>
      <c r="CB83" s="175"/>
      <c r="CC83" s="173"/>
      <c r="CD83" s="173"/>
    </row>
    <row r="84" ht="15.75" customHeight="1">
      <c r="A84" s="11"/>
      <c r="B84" s="221" t="str">
        <f>IF(B82="","",B82+7)</f>
        <v/>
      </c>
      <c r="C84" s="222"/>
      <c r="D84" s="223" t="str">
        <f t="shared" si="27"/>
        <v>Weight</v>
      </c>
      <c r="E84" s="272"/>
      <c r="F84" s="273"/>
      <c r="G84" s="274"/>
      <c r="H84" s="274"/>
      <c r="I84" s="274"/>
      <c r="J84" s="274"/>
      <c r="K84" s="274"/>
      <c r="L84" s="284" t="str">
        <f t="shared" si="6"/>
        <v/>
      </c>
      <c r="M84" s="227"/>
      <c r="N84" s="228"/>
      <c r="O84" s="228"/>
      <c r="P84" s="228"/>
      <c r="Q84" s="276" t="str">
        <f>BL84</f>
        <v/>
      </c>
      <c r="R84" s="228"/>
      <c r="S84" s="230" t="str">
        <f>IFERROR(__xludf.DUMMYFUNCTION("IF(L84="""","""",(L84-index(filter($L$36:L82,$L$36:L82&lt;&gt;"""",ISEVEN(row($L$36:L82))),count(filter($L$36:L82,$L$36:L82&lt;&gt;"""",iseven(row($L$36:L82)))),1)))"),"")</f>
        <v/>
      </c>
      <c r="T84" s="231"/>
      <c r="U84" s="232" t="str">
        <f>if(BD$24=FALSE,"",IF(L84="","",BC84))</f>
        <v/>
      </c>
      <c r="V84" s="233"/>
      <c r="W84" s="234">
        <f>IF(count(S84:S85)&gt;1,1,0)</f>
        <v>0</v>
      </c>
      <c r="X84" s="235" t="str">
        <f>if(Y84="","","Week 25")</f>
        <v/>
      </c>
      <c r="Y84" s="236" t="str">
        <f>IF(S84="","",text(B84,"MMM-YY"))</f>
        <v/>
      </c>
      <c r="Z84" s="173"/>
      <c r="AA84" s="173"/>
      <c r="AB84" s="212" t="str">
        <f>B132</f>
        <v/>
      </c>
      <c r="AC84" s="264" t="str">
        <f t="shared" si="8"/>
        <v/>
      </c>
      <c r="AD84" s="212">
        <f t="shared" ref="AD84:AI84" si="123">AC84+1</f>
        <v>1</v>
      </c>
      <c r="AE84" s="212">
        <f t="shared" si="123"/>
        <v>2</v>
      </c>
      <c r="AF84" s="212">
        <f t="shared" si="123"/>
        <v>3</v>
      </c>
      <c r="AG84" s="212">
        <f t="shared" si="123"/>
        <v>4</v>
      </c>
      <c r="AH84" s="212">
        <f t="shared" si="123"/>
        <v>5</v>
      </c>
      <c r="AI84" s="265">
        <f t="shared" si="123"/>
        <v>6</v>
      </c>
      <c r="AJ84" s="266">
        <f>AJ82+1</f>
        <v>25</v>
      </c>
      <c r="AK84" s="277">
        <v>24.0</v>
      </c>
      <c r="AL84" s="54">
        <f t="shared" si="10"/>
        <v>0</v>
      </c>
      <c r="AM84" s="198" t="str">
        <f>IF(K84="",AM82,K84)</f>
        <v/>
      </c>
      <c r="AN84" s="54"/>
      <c r="AO84" s="241"/>
      <c r="AP84" s="242" t="str">
        <f t="shared" si="22"/>
        <v/>
      </c>
      <c r="AQ84" s="242" t="str">
        <f t="shared" ref="AQ84:AV84" si="124">IF(F84="",AP84,F84)</f>
        <v/>
      </c>
      <c r="AR84" s="242" t="str">
        <f t="shared" si="124"/>
        <v/>
      </c>
      <c r="AS84" s="242" t="str">
        <f t="shared" si="124"/>
        <v/>
      </c>
      <c r="AT84" s="242" t="str">
        <f t="shared" si="124"/>
        <v/>
      </c>
      <c r="AU84" s="242" t="str">
        <f t="shared" si="124"/>
        <v/>
      </c>
      <c r="AV84" s="242" t="str">
        <f t="shared" si="124"/>
        <v/>
      </c>
      <c r="AW84" s="278" t="str">
        <f t="shared" si="30"/>
        <v/>
      </c>
      <c r="AX84" s="244">
        <f>if(AND(AW84=AX$34,$AL84&gt;0),ROW(),0)</f>
        <v>0</v>
      </c>
      <c r="AY84" s="244">
        <f>if(AND(AW84=AY$34,$AL84&gt;0),ROW(),0)</f>
        <v>0</v>
      </c>
      <c r="AZ84" s="279" t="str">
        <f>IF(AW84="","",AW84-AW82)</f>
        <v/>
      </c>
      <c r="BA84" s="246">
        <f>if(BB84&gt;0,row(),0)</f>
        <v>84</v>
      </c>
      <c r="BB84" s="246">
        <f>max(if(E84=AW$30,COLUMN(E84),0),if(F84=AW$30,COLUMN(F84),0),if(G84=AW$30,COLUMN(G84),0),if(H84=AW$30,COLUMN(H84),0),if(I84=AW$30,COLUMN(I84),0),if(J84=AW$30,COLUMN(J84),0),if(K84=AW$30,COLUMN(K84),0))</f>
        <v>11</v>
      </c>
      <c r="BC84" s="247" t="str">
        <f>IF(BD84="","",IF(AZ84="","",BD84))</f>
        <v/>
      </c>
      <c r="BD84" s="248">
        <f>IF(AL84=0,BD82,IF(AL85=0,BD82,((AW85+(((-AZ84)*$BD$7)/AL85)+sum($BE$38:BE82))/AK84)))</f>
        <v>0</v>
      </c>
      <c r="BE84" s="249">
        <f>IF(AL84=0,BE82,IF(AL85=0,BE82,AW85+(((-AZ84)*$BD$7)/AL85)))</f>
        <v>0</v>
      </c>
      <c r="BF84" s="54"/>
      <c r="BG84" s="54"/>
      <c r="BH84" s="54"/>
      <c r="BI84" s="54"/>
      <c r="BJ84" s="173" t="str">
        <f>text(B84,"YYYY MMM")</f>
        <v/>
      </c>
      <c r="BK84" s="173"/>
      <c r="BL84" s="174" t="str">
        <f>if($G$13="Disable","", if($G$9="","",if(and($G$9="Male",count($N84:$O84)&lt;&gt;2),"",
if(and($G$9="Male",count($N84:$O84)=2),round(if($N84="","",
     if($G$14="cm",86.01*log($N84-$O84)-70.041*log($G$15)+30.3,
     if($G$14="inch",86.01*log(($N84-$O84)*2.54)-70.041*log($G$15*2.54)+30.3))),0),                                         
if(and($G$9="Female",count($N84:$P84)&lt;&gt;3),"",
if(and($G$9="Female",count($N84:$P84)=3),round(if($N84="","",
        if($G$14="cm",495/(1.29579-0.35004*log10($N84+$P84-$O84)+0.221 * log10($G$15))-450,
        if($G$14="inch",495/(1.29579-0.35004*log10(($N84+$P84-$O84)*2.54)+0.221 * log10($G$15*2.54))-450))),0)))))))</f>
        <v/>
      </c>
      <c r="BM84" s="173"/>
      <c r="BN84" s="175"/>
      <c r="BO84" s="253" t="str">
        <f>IFERROR(__xludf.DUMMYFUNCTION("""COMPUTED_VALUE"""),"")</f>
        <v/>
      </c>
      <c r="BP84" s="250" t="str">
        <f t="shared" si="36"/>
        <v/>
      </c>
      <c r="BQ84" s="253" t="str">
        <f>IFERROR(__xludf.DUMMYFUNCTION("""COMPUTED_VALUE"""),"")</f>
        <v/>
      </c>
      <c r="BR84" s="250"/>
      <c r="BS84" s="250" t="str">
        <f t="shared" si="15"/>
        <v/>
      </c>
      <c r="BT84" s="250" t="str">
        <f t="shared" si="37"/>
        <v/>
      </c>
      <c r="BU84" s="253" t="str">
        <f t="shared" si="33"/>
        <v/>
      </c>
      <c r="BV84" s="254" t="b">
        <f t="shared" si="17"/>
        <v>0</v>
      </c>
      <c r="BW84" s="175" t="str">
        <f t="shared" si="38"/>
        <v/>
      </c>
      <c r="BX84" s="44" t="b">
        <f t="shared" si="19"/>
        <v>0</v>
      </c>
      <c r="BY84" s="202" t="b">
        <f t="shared" si="20"/>
        <v>0</v>
      </c>
      <c r="BZ84" s="203">
        <f t="shared" si="25"/>
        <v>0</v>
      </c>
      <c r="CA84" s="175">
        <f t="shared" si="26"/>
        <v>0</v>
      </c>
      <c r="CB84" s="175"/>
      <c r="CC84" s="173"/>
      <c r="CD84" s="173"/>
    </row>
    <row r="85" ht="15.75" customHeight="1">
      <c r="A85" s="11"/>
      <c r="B85" s="255"/>
      <c r="C85" s="256"/>
      <c r="D85" s="257" t="str">
        <f t="shared" si="27"/>
        <v>Calories</v>
      </c>
      <c r="E85" s="258"/>
      <c r="F85" s="280"/>
      <c r="G85" s="259"/>
      <c r="H85" s="259"/>
      <c r="I85" s="259"/>
      <c r="J85" s="259"/>
      <c r="K85" s="259"/>
      <c r="L85" s="260" t="str">
        <f t="shared" si="6"/>
        <v/>
      </c>
      <c r="M85" s="261"/>
      <c r="N85" s="255"/>
      <c r="O85" s="255"/>
      <c r="P85" s="255"/>
      <c r="Q85" s="255"/>
      <c r="R85" s="255"/>
      <c r="S85" s="255"/>
      <c r="T85" s="231"/>
      <c r="U85" s="255"/>
      <c r="V85" s="233"/>
      <c r="W85" s="262"/>
      <c r="X85" s="262"/>
      <c r="Y85" s="263"/>
      <c r="Z85" s="173"/>
      <c r="AA85" s="173"/>
      <c r="AB85" s="212" t="str">
        <f>B134</f>
        <v/>
      </c>
      <c r="AC85" s="264" t="str">
        <f t="shared" si="8"/>
        <v/>
      </c>
      <c r="AD85" s="212">
        <f t="shared" ref="AD85:AI85" si="125">AC85+1</f>
        <v>1</v>
      </c>
      <c r="AE85" s="212">
        <f t="shared" si="125"/>
        <v>2</v>
      </c>
      <c r="AF85" s="212">
        <f t="shared" si="125"/>
        <v>3</v>
      </c>
      <c r="AG85" s="212">
        <f t="shared" si="125"/>
        <v>4</v>
      </c>
      <c r="AH85" s="212">
        <f t="shared" si="125"/>
        <v>5</v>
      </c>
      <c r="AI85" s="265">
        <f t="shared" si="125"/>
        <v>6</v>
      </c>
      <c r="AJ85" s="266">
        <f>AJ84+0.5</f>
        <v>25.5</v>
      </c>
      <c r="AK85" s="69"/>
      <c r="AL85" s="54">
        <f t="shared" si="10"/>
        <v>0</v>
      </c>
      <c r="AM85" s="183" t="str">
        <f>AM84</f>
        <v/>
      </c>
      <c r="AN85" s="54"/>
      <c r="AO85" s="267"/>
      <c r="AP85" s="242" t="str">
        <f t="shared" si="22"/>
        <v/>
      </c>
      <c r="AQ85" s="242" t="str">
        <f t="shared" ref="AQ85:AV85" si="126">IF(F85="",AP85,F85)</f>
        <v/>
      </c>
      <c r="AR85" s="242" t="str">
        <f t="shared" si="126"/>
        <v/>
      </c>
      <c r="AS85" s="242" t="str">
        <f t="shared" si="126"/>
        <v/>
      </c>
      <c r="AT85" s="242" t="str">
        <f t="shared" si="126"/>
        <v/>
      </c>
      <c r="AU85" s="242" t="str">
        <f t="shared" si="126"/>
        <v/>
      </c>
      <c r="AV85" s="242" t="str">
        <f t="shared" si="126"/>
        <v/>
      </c>
      <c r="AW85" s="268" t="str">
        <f t="shared" si="30"/>
        <v/>
      </c>
      <c r="AX85" s="269"/>
      <c r="AY85" s="270"/>
      <c r="AZ85" s="271"/>
      <c r="BA85" s="246"/>
      <c r="BB85" s="246"/>
      <c r="BC85" s="263"/>
      <c r="BD85" s="66"/>
      <c r="BE85" s="69"/>
      <c r="BF85" s="54"/>
      <c r="BG85" s="54"/>
      <c r="BH85" s="54"/>
      <c r="BI85" s="54"/>
      <c r="BK85" s="173"/>
      <c r="BM85" s="173"/>
      <c r="BN85" s="175"/>
      <c r="BO85" s="253" t="str">
        <f>IFERROR(__xludf.DUMMYFUNCTION("""COMPUTED_VALUE"""),"")</f>
        <v/>
      </c>
      <c r="BP85" s="250" t="str">
        <f t="shared" si="36"/>
        <v/>
      </c>
      <c r="BQ85" s="253" t="str">
        <f>IFERROR(__xludf.DUMMYFUNCTION("""COMPUTED_VALUE"""),"")</f>
        <v/>
      </c>
      <c r="BR85" s="250"/>
      <c r="BS85" s="250" t="str">
        <f t="shared" si="15"/>
        <v/>
      </c>
      <c r="BT85" s="250" t="str">
        <f t="shared" si="37"/>
        <v/>
      </c>
      <c r="BU85" s="253" t="str">
        <f t="shared" si="33"/>
        <v/>
      </c>
      <c r="BV85" s="254" t="b">
        <f t="shared" si="17"/>
        <v>0</v>
      </c>
      <c r="BW85" s="175" t="str">
        <f t="shared" si="38"/>
        <v/>
      </c>
      <c r="BX85" s="44" t="b">
        <f t="shared" si="19"/>
        <v>0</v>
      </c>
      <c r="BY85" s="202" t="b">
        <f t="shared" si="20"/>
        <v>0</v>
      </c>
      <c r="BZ85" s="203">
        <f t="shared" si="25"/>
        <v>0</v>
      </c>
      <c r="CA85" s="175">
        <f t="shared" si="26"/>
        <v>0</v>
      </c>
      <c r="CB85" s="175"/>
      <c r="CC85" s="173"/>
      <c r="CD85" s="173"/>
    </row>
    <row r="86" ht="15.75" customHeight="1">
      <c r="A86" s="11"/>
      <c r="B86" s="221" t="str">
        <f>IF(B84="","",B84+7)</f>
        <v/>
      </c>
      <c r="C86" s="222"/>
      <c r="D86" s="223" t="str">
        <f t="shared" si="27"/>
        <v>Weight</v>
      </c>
      <c r="E86" s="272"/>
      <c r="F86" s="273"/>
      <c r="G86" s="274"/>
      <c r="H86" s="274"/>
      <c r="I86" s="274"/>
      <c r="J86" s="274"/>
      <c r="K86" s="274"/>
      <c r="L86" s="284" t="str">
        <f t="shared" si="6"/>
        <v/>
      </c>
      <c r="M86" s="227"/>
      <c r="N86" s="228"/>
      <c r="O86" s="228"/>
      <c r="P86" s="228"/>
      <c r="Q86" s="276" t="str">
        <f>BL86</f>
        <v/>
      </c>
      <c r="R86" s="228"/>
      <c r="S86" s="230" t="str">
        <f>IFERROR(__xludf.DUMMYFUNCTION("IF(L86="""","""",(L86-index(filter($L$36:L84,$L$36:L84&lt;&gt;"""",ISEVEN(row($L$36:L84))),count(filter($L$36:L84,$L$36:L84&lt;&gt;"""",iseven(row($L$36:L84)))),1)))"),"")</f>
        <v/>
      </c>
      <c r="T86" s="231"/>
      <c r="U86" s="232" t="str">
        <f>if(BD$24=FALSE,"",IF(L86="","",BC86))</f>
        <v/>
      </c>
      <c r="V86" s="233"/>
      <c r="W86" s="234">
        <f>IF(count(S86:S87)&gt;1,1,0)</f>
        <v>0</v>
      </c>
      <c r="X86" s="235" t="str">
        <f>if(Y86="","","Week 26")</f>
        <v/>
      </c>
      <c r="Y86" s="236" t="str">
        <f>IF(S86="","",text(B86,"MMM-YY"))</f>
        <v/>
      </c>
      <c r="Z86" s="173"/>
      <c r="AA86" s="173"/>
      <c r="AB86" s="212" t="str">
        <f>B136</f>
        <v/>
      </c>
      <c r="AC86" s="264" t="str">
        <f t="shared" si="8"/>
        <v/>
      </c>
      <c r="AD86" s="212">
        <f t="shared" ref="AD86:AI86" si="127">AC86+1</f>
        <v>1</v>
      </c>
      <c r="AE86" s="212">
        <f t="shared" si="127"/>
        <v>2</v>
      </c>
      <c r="AF86" s="212">
        <f t="shared" si="127"/>
        <v>3</v>
      </c>
      <c r="AG86" s="212">
        <f t="shared" si="127"/>
        <v>4</v>
      </c>
      <c r="AH86" s="212">
        <f t="shared" si="127"/>
        <v>5</v>
      </c>
      <c r="AI86" s="265">
        <f t="shared" si="127"/>
        <v>6</v>
      </c>
      <c r="AJ86" s="266">
        <f>AJ84+1</f>
        <v>26</v>
      </c>
      <c r="AK86" s="277">
        <v>25.0</v>
      </c>
      <c r="AL86" s="54">
        <f t="shared" si="10"/>
        <v>0</v>
      </c>
      <c r="AM86" s="198" t="str">
        <f>IF(K86="",AM84,K86)</f>
        <v/>
      </c>
      <c r="AN86" s="54"/>
      <c r="AO86" s="241"/>
      <c r="AP86" s="242" t="str">
        <f t="shared" si="22"/>
        <v/>
      </c>
      <c r="AQ86" s="242" t="str">
        <f t="shared" ref="AQ86:AV86" si="128">IF(F86="",AP86,F86)</f>
        <v/>
      </c>
      <c r="AR86" s="242" t="str">
        <f t="shared" si="128"/>
        <v/>
      </c>
      <c r="AS86" s="242" t="str">
        <f t="shared" si="128"/>
        <v/>
      </c>
      <c r="AT86" s="242" t="str">
        <f t="shared" si="128"/>
        <v/>
      </c>
      <c r="AU86" s="242" t="str">
        <f t="shared" si="128"/>
        <v/>
      </c>
      <c r="AV86" s="242" t="str">
        <f t="shared" si="128"/>
        <v/>
      </c>
      <c r="AW86" s="278" t="str">
        <f t="shared" si="30"/>
        <v/>
      </c>
      <c r="AX86" s="244">
        <f>if(AND(AW86=AX$34,$AL86&gt;0),ROW(),0)</f>
        <v>0</v>
      </c>
      <c r="AY86" s="244">
        <f>if(AND(AW86=AY$34,$AL86&gt;0),ROW(),0)</f>
        <v>0</v>
      </c>
      <c r="AZ86" s="279" t="str">
        <f>IF(AW86="","",AW86-AW84)</f>
        <v/>
      </c>
      <c r="BA86" s="246">
        <f>if(BB86&gt;0,row(),0)</f>
        <v>86</v>
      </c>
      <c r="BB86" s="246">
        <f>max(if(E86=AW$30,COLUMN(E86),0),if(F86=AW$30,COLUMN(F86),0),if(G86=AW$30,COLUMN(G86),0),if(H86=AW$30,COLUMN(H86),0),if(I86=AW$30,COLUMN(I86),0),if(J86=AW$30,COLUMN(J86),0),if(K86=AW$30,COLUMN(K86),0))</f>
        <v>11</v>
      </c>
      <c r="BC86" s="247" t="str">
        <f>IF(BD86="","",IF(AZ86="","",BD86))</f>
        <v/>
      </c>
      <c r="BD86" s="248">
        <f>IF(AL86=0,BD84,IF(AL87=0,BD84,((AW87+(((-AZ86)*$BD$7)/AL87)+sum($BE$38:BE84))/AK86)))</f>
        <v>0</v>
      </c>
      <c r="BE86" s="249">
        <f>IF(AL86=0,BE84,IF(AL87=0,BE84,AW87+(((-AZ86)*$BD$7)/AL87)))</f>
        <v>0</v>
      </c>
      <c r="BF86" s="54"/>
      <c r="BG86" s="54"/>
      <c r="BH86" s="54"/>
      <c r="BI86" s="54"/>
      <c r="BJ86" s="173" t="str">
        <f>text(B86,"YYYY MMM")</f>
        <v/>
      </c>
      <c r="BK86" s="173"/>
      <c r="BL86" s="174" t="str">
        <f>if($G$13="Disable","", if($G$9="","",if(and($G$9="Male",count($N86:$O86)&lt;&gt;2),"",
if(and($G$9="Male",count($N86:$O86)=2),round(if($N86="","",
     if($G$14="cm",86.01*log($N86-$O86)-70.041*log($G$15)+30.3,
     if($G$14="inch",86.01*log(($N86-$O86)*2.54)-70.041*log($G$15*2.54)+30.3))),0),                                         
if(and($G$9="Female",count($N86:$P86)&lt;&gt;3),"",
if(and($G$9="Female",count($N86:$P86)=3),round(if($N86="","",
        if($G$14="cm",495/(1.29579-0.35004*log10($N86+$P86-$O86)+0.221 * log10($G$15))-450,
        if($G$14="inch",495/(1.29579-0.35004*log10(($N86+$P86-$O86)*2.54)+0.221 * log10($G$15*2.54))-450))),0)))))))</f>
        <v/>
      </c>
      <c r="BM86" s="173"/>
      <c r="BN86" s="175"/>
      <c r="BO86" s="253" t="str">
        <f>IFERROR(__xludf.DUMMYFUNCTION("""COMPUTED_VALUE"""),"")</f>
        <v/>
      </c>
      <c r="BP86" s="250" t="str">
        <f t="shared" si="36"/>
        <v/>
      </c>
      <c r="BQ86" s="253" t="str">
        <f>IFERROR(__xludf.DUMMYFUNCTION("""COMPUTED_VALUE"""),"")</f>
        <v/>
      </c>
      <c r="BR86" s="250"/>
      <c r="BS86" s="250" t="str">
        <f t="shared" si="15"/>
        <v/>
      </c>
      <c r="BT86" s="250" t="str">
        <f t="shared" si="37"/>
        <v/>
      </c>
      <c r="BU86" s="253" t="str">
        <f t="shared" si="33"/>
        <v/>
      </c>
      <c r="BV86" s="254" t="b">
        <f t="shared" si="17"/>
        <v>0</v>
      </c>
      <c r="BW86" s="175" t="str">
        <f t="shared" si="38"/>
        <v/>
      </c>
      <c r="BX86" s="44" t="b">
        <f t="shared" si="19"/>
        <v>0</v>
      </c>
      <c r="BY86" s="202" t="b">
        <f t="shared" si="20"/>
        <v>0</v>
      </c>
      <c r="BZ86" s="203">
        <f t="shared" si="25"/>
        <v>0</v>
      </c>
      <c r="CA86" s="175">
        <f t="shared" si="26"/>
        <v>0</v>
      </c>
      <c r="CB86" s="175"/>
      <c r="CC86" s="173"/>
      <c r="CD86" s="173"/>
    </row>
    <row r="87" ht="15.75" customHeight="1">
      <c r="A87" s="11"/>
      <c r="B87" s="255"/>
      <c r="C87" s="256"/>
      <c r="D87" s="257" t="str">
        <f t="shared" si="27"/>
        <v>Calories</v>
      </c>
      <c r="E87" s="258"/>
      <c r="F87" s="280"/>
      <c r="G87" s="259"/>
      <c r="H87" s="259"/>
      <c r="I87" s="259"/>
      <c r="J87" s="259"/>
      <c r="K87" s="259"/>
      <c r="L87" s="260" t="str">
        <f t="shared" si="6"/>
        <v/>
      </c>
      <c r="M87" s="261"/>
      <c r="N87" s="255"/>
      <c r="O87" s="255"/>
      <c r="P87" s="255"/>
      <c r="Q87" s="255"/>
      <c r="R87" s="255"/>
      <c r="S87" s="255"/>
      <c r="T87" s="231"/>
      <c r="U87" s="255"/>
      <c r="V87" s="233"/>
      <c r="W87" s="262"/>
      <c r="X87" s="262"/>
      <c r="Y87" s="263"/>
      <c r="Z87" s="173"/>
      <c r="AA87" s="173"/>
      <c r="AB87" s="212" t="str">
        <f>B138</f>
        <v/>
      </c>
      <c r="AC87" s="264" t="str">
        <f t="shared" si="8"/>
        <v/>
      </c>
      <c r="AD87" s="212">
        <f t="shared" ref="AD87:AI87" si="129">AC87+1</f>
        <v>1</v>
      </c>
      <c r="AE87" s="212">
        <f t="shared" si="129"/>
        <v>2</v>
      </c>
      <c r="AF87" s="212">
        <f t="shared" si="129"/>
        <v>3</v>
      </c>
      <c r="AG87" s="212">
        <f t="shared" si="129"/>
        <v>4</v>
      </c>
      <c r="AH87" s="212">
        <f t="shared" si="129"/>
        <v>5</v>
      </c>
      <c r="AI87" s="265">
        <f t="shared" si="129"/>
        <v>6</v>
      </c>
      <c r="AJ87" s="266">
        <f>AJ86+0.5</f>
        <v>26.5</v>
      </c>
      <c r="AK87" s="69"/>
      <c r="AL87" s="54">
        <f t="shared" si="10"/>
        <v>0</v>
      </c>
      <c r="AM87" s="183" t="str">
        <f>AM86</f>
        <v/>
      </c>
      <c r="AN87" s="54"/>
      <c r="AO87" s="267"/>
      <c r="AP87" s="242" t="str">
        <f t="shared" si="22"/>
        <v/>
      </c>
      <c r="AQ87" s="242" t="str">
        <f t="shared" ref="AQ87:AV87" si="130">IF(F87="",AP87,F87)</f>
        <v/>
      </c>
      <c r="AR87" s="242" t="str">
        <f t="shared" si="130"/>
        <v/>
      </c>
      <c r="AS87" s="242" t="str">
        <f t="shared" si="130"/>
        <v/>
      </c>
      <c r="AT87" s="242" t="str">
        <f t="shared" si="130"/>
        <v/>
      </c>
      <c r="AU87" s="242" t="str">
        <f t="shared" si="130"/>
        <v/>
      </c>
      <c r="AV87" s="242" t="str">
        <f t="shared" si="130"/>
        <v/>
      </c>
      <c r="AW87" s="268" t="str">
        <f t="shared" si="30"/>
        <v/>
      </c>
      <c r="AX87" s="269"/>
      <c r="AY87" s="270"/>
      <c r="AZ87" s="271"/>
      <c r="BA87" s="246"/>
      <c r="BB87" s="246"/>
      <c r="BC87" s="263"/>
      <c r="BD87" s="66"/>
      <c r="BE87" s="69"/>
      <c r="BF87" s="54"/>
      <c r="BG87" s="54"/>
      <c r="BH87" s="54"/>
      <c r="BI87" s="54"/>
      <c r="BK87" s="173"/>
      <c r="BM87" s="173"/>
      <c r="BN87" s="175"/>
      <c r="BO87" s="253" t="str">
        <f>IFERROR(__xludf.DUMMYFUNCTION("""COMPUTED_VALUE"""),"")</f>
        <v/>
      </c>
      <c r="BP87" s="250" t="str">
        <f t="shared" si="36"/>
        <v/>
      </c>
      <c r="BQ87" s="253" t="str">
        <f>IFERROR(__xludf.DUMMYFUNCTION("""COMPUTED_VALUE"""),"")</f>
        <v/>
      </c>
      <c r="BR87" s="250"/>
      <c r="BS87" s="250" t="str">
        <f t="shared" si="15"/>
        <v/>
      </c>
      <c r="BT87" s="250" t="str">
        <f t="shared" si="37"/>
        <v/>
      </c>
      <c r="BU87" s="253" t="str">
        <f t="shared" si="33"/>
        <v/>
      </c>
      <c r="BV87" s="254" t="b">
        <f t="shared" si="17"/>
        <v>0</v>
      </c>
      <c r="BW87" s="175" t="str">
        <f t="shared" si="38"/>
        <v/>
      </c>
      <c r="BX87" s="44" t="b">
        <f t="shared" si="19"/>
        <v>0</v>
      </c>
      <c r="BY87" s="202" t="b">
        <f t="shared" si="20"/>
        <v>0</v>
      </c>
      <c r="BZ87" s="203">
        <f t="shared" si="25"/>
        <v>0</v>
      </c>
      <c r="CA87" s="175">
        <f t="shared" si="26"/>
        <v>0</v>
      </c>
      <c r="CB87" s="175"/>
      <c r="CC87" s="173"/>
      <c r="CD87" s="173"/>
    </row>
    <row r="88" ht="15.75" customHeight="1">
      <c r="A88" s="11"/>
      <c r="B88" s="221" t="str">
        <f>IF(B86="","",B86+7)</f>
        <v/>
      </c>
      <c r="C88" s="222"/>
      <c r="D88" s="223" t="str">
        <f t="shared" si="27"/>
        <v>Weight</v>
      </c>
      <c r="E88" s="272"/>
      <c r="F88" s="273"/>
      <c r="G88" s="274"/>
      <c r="H88" s="274"/>
      <c r="I88" s="274"/>
      <c r="J88" s="274"/>
      <c r="K88" s="274"/>
      <c r="L88" s="284" t="str">
        <f t="shared" si="6"/>
        <v/>
      </c>
      <c r="M88" s="227"/>
      <c r="N88" s="228"/>
      <c r="O88" s="228"/>
      <c r="P88" s="228"/>
      <c r="Q88" s="276" t="str">
        <f>BL88</f>
        <v/>
      </c>
      <c r="R88" s="228"/>
      <c r="S88" s="230" t="str">
        <f>IFERROR(__xludf.DUMMYFUNCTION("IF(L88="""","""",(L88-index(filter($L$36:L86,$L$36:L86&lt;&gt;"""",ISEVEN(row($L$36:L86))),count(filter($L$36:L86,$L$36:L86&lt;&gt;"""",iseven(row($L$36:L86)))),1)))"),"")</f>
        <v/>
      </c>
      <c r="T88" s="231"/>
      <c r="U88" s="232" t="str">
        <f>if(BD$24=FALSE,"",IF(L88="","",BC88))</f>
        <v/>
      </c>
      <c r="V88" s="233"/>
      <c r="W88" s="234">
        <f>IF(count(S88:S89)&gt;1,1,0)</f>
        <v>0</v>
      </c>
      <c r="X88" s="235" t="str">
        <f>if(Y88="","","Week 27")</f>
        <v/>
      </c>
      <c r="Y88" s="236" t="str">
        <f>IF(S88="","",text(B88,"MMM-YY"))</f>
        <v/>
      </c>
      <c r="Z88" s="173"/>
      <c r="AA88" s="173"/>
      <c r="AB88" s="212" t="str">
        <f>B140</f>
        <v/>
      </c>
      <c r="AC88" s="293" t="str">
        <f t="shared" si="8"/>
        <v/>
      </c>
      <c r="AD88" s="294">
        <f t="shared" ref="AD88:AI88" si="131">AC88+1</f>
        <v>1</v>
      </c>
      <c r="AE88" s="294">
        <f t="shared" si="131"/>
        <v>2</v>
      </c>
      <c r="AF88" s="294">
        <f t="shared" si="131"/>
        <v>3</v>
      </c>
      <c r="AG88" s="294">
        <f t="shared" si="131"/>
        <v>4</v>
      </c>
      <c r="AH88" s="294">
        <f t="shared" si="131"/>
        <v>5</v>
      </c>
      <c r="AI88" s="295">
        <f t="shared" si="131"/>
        <v>6</v>
      </c>
      <c r="AJ88" s="266">
        <f>AJ86+1</f>
        <v>27</v>
      </c>
      <c r="AK88" s="277">
        <v>26.0</v>
      </c>
      <c r="AL88" s="54">
        <f t="shared" si="10"/>
        <v>0</v>
      </c>
      <c r="AM88" s="198" t="str">
        <f>IF(K88="",AM86,K88)</f>
        <v/>
      </c>
      <c r="AN88" s="54"/>
      <c r="AO88" s="241"/>
      <c r="AP88" s="242" t="str">
        <f t="shared" si="22"/>
        <v/>
      </c>
      <c r="AQ88" s="242" t="str">
        <f t="shared" ref="AQ88:AV88" si="132">IF(F88="",AP88,F88)</f>
        <v/>
      </c>
      <c r="AR88" s="242" t="str">
        <f t="shared" si="132"/>
        <v/>
      </c>
      <c r="AS88" s="242" t="str">
        <f t="shared" si="132"/>
        <v/>
      </c>
      <c r="AT88" s="242" t="str">
        <f t="shared" si="132"/>
        <v/>
      </c>
      <c r="AU88" s="242" t="str">
        <f t="shared" si="132"/>
        <v/>
      </c>
      <c r="AV88" s="242" t="str">
        <f t="shared" si="132"/>
        <v/>
      </c>
      <c r="AW88" s="278" t="str">
        <f t="shared" si="30"/>
        <v/>
      </c>
      <c r="AX88" s="244">
        <f>if(AND(AW88=AX$34,$AL88&gt;0),ROW(),0)</f>
        <v>0</v>
      </c>
      <c r="AY88" s="244">
        <f>if(AND(AW88=AY$34,$AL88&gt;0),ROW(),0)</f>
        <v>0</v>
      </c>
      <c r="AZ88" s="279" t="str">
        <f>IF(AW88="","",AW88-AW86)</f>
        <v/>
      </c>
      <c r="BA88" s="246">
        <f>if(BB88&gt;0,row(),0)</f>
        <v>88</v>
      </c>
      <c r="BB88" s="246">
        <f>max(if(E88=AW$30,COLUMN(E88),0),if(F88=AW$30,COLUMN(F88),0),if(G88=AW$30,COLUMN(G88),0),if(H88=AW$30,COLUMN(H88),0),if(I88=AW$30,COLUMN(I88),0),if(J88=AW$30,COLUMN(J88),0),if(K88=AW$30,COLUMN(K88),0))</f>
        <v>11</v>
      </c>
      <c r="BC88" s="247" t="str">
        <f>IF(BD88="","",IF(AZ88="","",BD88))</f>
        <v/>
      </c>
      <c r="BD88" s="248">
        <f>IF(AL88=0,BD86,IF(AL89=0,BD86,((AW89+(((-AZ88)*$BD$7)/AL89)+sum($BE$38:BE86))/AK88)))</f>
        <v>0</v>
      </c>
      <c r="BE88" s="249">
        <f>IF(AL88=0,BE86,IF(AL89=0,BE86,AW89+(((-AZ88)*$BD$7)/AL89)))</f>
        <v>0</v>
      </c>
      <c r="BF88" s="54"/>
      <c r="BG88" s="54"/>
      <c r="BH88" s="54"/>
      <c r="BI88" s="54"/>
      <c r="BJ88" s="173" t="str">
        <f>text(B88,"YYYY MMM")</f>
        <v/>
      </c>
      <c r="BK88" s="173"/>
      <c r="BL88" s="174" t="str">
        <f>if($G$13="Disable","", if($G$9="","",if(and($G$9="Male",count($N88:$O88)&lt;&gt;2),"",
if(and($G$9="Male",count($N88:$O88)=2),round(if($N88="","",
     if($G$14="cm",86.01*log($N88-$O88)-70.041*log($G$15)+30.3,
     if($G$14="inch",86.01*log(($N88-$O88)*2.54)-70.041*log($G$15*2.54)+30.3))),0),                                         
if(and($G$9="Female",count($N88:$P88)&lt;&gt;3),"",
if(and($G$9="Female",count($N88:$P88)=3),round(if($N88="","",
        if($G$14="cm",495/(1.29579-0.35004*log10($N88+$P88-$O88)+0.221 * log10($G$15))-450,
        if($G$14="inch",495/(1.29579-0.35004*log10(($N88+$P88-$O88)*2.54)+0.221 * log10($G$15*2.54))-450))),0)))))))</f>
        <v/>
      </c>
      <c r="BM88" s="173"/>
      <c r="BN88" s="175"/>
      <c r="BO88" s="253" t="str">
        <f>IFERROR(__xludf.DUMMYFUNCTION("""COMPUTED_VALUE"""),"")</f>
        <v/>
      </c>
      <c r="BP88" s="250" t="str">
        <f t="shared" si="36"/>
        <v/>
      </c>
      <c r="BQ88" s="253" t="str">
        <f>IFERROR(__xludf.DUMMYFUNCTION("""COMPUTED_VALUE"""),"")</f>
        <v/>
      </c>
      <c r="BR88" s="250"/>
      <c r="BS88" s="250" t="str">
        <f t="shared" si="15"/>
        <v/>
      </c>
      <c r="BT88" s="250" t="str">
        <f t="shared" si="37"/>
        <v/>
      </c>
      <c r="BU88" s="253" t="str">
        <f t="shared" si="33"/>
        <v/>
      </c>
      <c r="BV88" s="254" t="b">
        <f t="shared" si="17"/>
        <v>0</v>
      </c>
      <c r="BW88" s="175" t="str">
        <f t="shared" si="38"/>
        <v/>
      </c>
      <c r="BX88" s="44" t="b">
        <f t="shared" si="19"/>
        <v>0</v>
      </c>
      <c r="BY88" s="202" t="b">
        <f t="shared" si="20"/>
        <v>0</v>
      </c>
      <c r="BZ88" s="203">
        <f t="shared" si="25"/>
        <v>0</v>
      </c>
      <c r="CA88" s="175">
        <f t="shared" si="26"/>
        <v>0</v>
      </c>
      <c r="CB88" s="175"/>
      <c r="CC88" s="173"/>
      <c r="CD88" s="173"/>
    </row>
    <row r="89" ht="15.75" customHeight="1">
      <c r="A89" s="11"/>
      <c r="B89" s="255"/>
      <c r="C89" s="256"/>
      <c r="D89" s="257" t="str">
        <f t="shared" si="27"/>
        <v>Calories</v>
      </c>
      <c r="E89" s="258"/>
      <c r="F89" s="280"/>
      <c r="G89" s="259"/>
      <c r="H89" s="259"/>
      <c r="I89" s="259"/>
      <c r="J89" s="259"/>
      <c r="K89" s="259"/>
      <c r="L89" s="260" t="str">
        <f t="shared" si="6"/>
        <v/>
      </c>
      <c r="M89" s="261"/>
      <c r="N89" s="255"/>
      <c r="O89" s="255"/>
      <c r="P89" s="255"/>
      <c r="Q89" s="255"/>
      <c r="R89" s="255"/>
      <c r="S89" s="255"/>
      <c r="T89" s="231"/>
      <c r="U89" s="255"/>
      <c r="V89" s="233"/>
      <c r="W89" s="262"/>
      <c r="X89" s="262"/>
      <c r="Y89" s="263"/>
      <c r="Z89" s="173"/>
      <c r="AA89" s="173"/>
      <c r="AC89" s="173"/>
      <c r="AD89" s="173"/>
      <c r="AE89" s="173"/>
      <c r="AF89" s="173"/>
      <c r="AG89" s="173"/>
      <c r="AH89" s="173"/>
      <c r="AI89" s="173"/>
      <c r="AJ89" s="296">
        <f>AJ88+0.5</f>
        <v>27.5</v>
      </c>
      <c r="AK89" s="69"/>
      <c r="AL89" s="54">
        <f t="shared" si="10"/>
        <v>0</v>
      </c>
      <c r="AM89" s="183" t="str">
        <f>AM88</f>
        <v/>
      </c>
      <c r="AN89" s="54"/>
      <c r="AO89" s="267"/>
      <c r="AP89" s="242" t="str">
        <f t="shared" si="22"/>
        <v/>
      </c>
      <c r="AQ89" s="242" t="str">
        <f t="shared" ref="AQ89:AV89" si="133">IF(F89="",AP89,F89)</f>
        <v/>
      </c>
      <c r="AR89" s="242" t="str">
        <f t="shared" si="133"/>
        <v/>
      </c>
      <c r="AS89" s="242" t="str">
        <f t="shared" si="133"/>
        <v/>
      </c>
      <c r="AT89" s="242" t="str">
        <f t="shared" si="133"/>
        <v/>
      </c>
      <c r="AU89" s="242" t="str">
        <f t="shared" si="133"/>
        <v/>
      </c>
      <c r="AV89" s="242" t="str">
        <f t="shared" si="133"/>
        <v/>
      </c>
      <c r="AW89" s="268" t="str">
        <f t="shared" si="30"/>
        <v/>
      </c>
      <c r="AX89" s="269"/>
      <c r="AY89" s="270"/>
      <c r="AZ89" s="271"/>
      <c r="BA89" s="246"/>
      <c r="BB89" s="246"/>
      <c r="BC89" s="263"/>
      <c r="BD89" s="66"/>
      <c r="BE89" s="69"/>
      <c r="BF89" s="54"/>
      <c r="BG89" s="54"/>
      <c r="BH89" s="54"/>
      <c r="BI89" s="54"/>
      <c r="BK89" s="173"/>
      <c r="BM89" s="173"/>
      <c r="BN89" s="175"/>
      <c r="BO89" s="253"/>
      <c r="BP89" s="250" t="str">
        <f t="shared" si="36"/>
        <v/>
      </c>
      <c r="BQ89" s="253"/>
      <c r="BR89" s="250"/>
      <c r="BS89" s="250" t="str">
        <f t="shared" si="15"/>
        <v/>
      </c>
      <c r="BT89" s="250" t="str">
        <f t="shared" si="37"/>
        <v/>
      </c>
      <c r="BU89" s="253" t="str">
        <f t="shared" si="33"/>
        <v/>
      </c>
      <c r="BV89" s="254" t="b">
        <f t="shared" si="17"/>
        <v>0</v>
      </c>
      <c r="BW89" s="175" t="str">
        <f t="shared" si="38"/>
        <v/>
      </c>
      <c r="BX89" s="44" t="b">
        <f t="shared" si="19"/>
        <v>0</v>
      </c>
      <c r="BY89" s="202" t="b">
        <f t="shared" si="20"/>
        <v>0</v>
      </c>
      <c r="BZ89" s="203">
        <f t="shared" si="25"/>
        <v>0</v>
      </c>
      <c r="CA89" s="175">
        <f t="shared" si="26"/>
        <v>0</v>
      </c>
      <c r="CB89" s="175"/>
      <c r="CC89" s="173"/>
      <c r="CD89" s="173"/>
    </row>
    <row r="90" ht="15.75" customHeight="1">
      <c r="A90" s="11"/>
      <c r="B90" s="221" t="str">
        <f>IF(B88="","",B88+7)</f>
        <v/>
      </c>
      <c r="C90" s="222"/>
      <c r="D90" s="223" t="str">
        <f t="shared" si="27"/>
        <v>Weight</v>
      </c>
      <c r="E90" s="272"/>
      <c r="F90" s="273"/>
      <c r="G90" s="274"/>
      <c r="H90" s="274"/>
      <c r="I90" s="274"/>
      <c r="J90" s="274"/>
      <c r="K90" s="274"/>
      <c r="L90" s="284" t="str">
        <f t="shared" si="6"/>
        <v/>
      </c>
      <c r="M90" s="227"/>
      <c r="N90" s="228"/>
      <c r="O90" s="228"/>
      <c r="P90" s="228"/>
      <c r="Q90" s="276" t="str">
        <f>BL90</f>
        <v/>
      </c>
      <c r="R90" s="228"/>
      <c r="S90" s="230" t="str">
        <f>IFERROR(__xludf.DUMMYFUNCTION("IF(L90="""","""",(L90-index(filter($L$36:L88,$L$36:L88&lt;&gt;"""",ISEVEN(row($L$36:L88))),count(filter($L$36:L88,$L$36:L88&lt;&gt;"""",iseven(row($L$36:L88)))),1)))"),"")</f>
        <v/>
      </c>
      <c r="T90" s="231"/>
      <c r="U90" s="232" t="str">
        <f>if(BD$24=FALSE,"",IF(L90="","",BC90))</f>
        <v/>
      </c>
      <c r="V90" s="233"/>
      <c r="W90" s="234">
        <f>IF(count(S90:S91)&gt;1,1,0)</f>
        <v>0</v>
      </c>
      <c r="X90" s="235" t="str">
        <f>if(Y90="","","Week 28")</f>
        <v/>
      </c>
      <c r="Y90" s="236" t="str">
        <f>IF(S90="","",text(B90,"MMM-YY"))</f>
        <v/>
      </c>
      <c r="Z90" s="173"/>
      <c r="AA90" s="173"/>
      <c r="AC90" s="173"/>
      <c r="AD90" s="173"/>
      <c r="AE90" s="173"/>
      <c r="AF90" s="173"/>
      <c r="AG90" s="173"/>
      <c r="AH90" s="173"/>
      <c r="AI90" s="173"/>
      <c r="AJ90" s="296">
        <f>AJ88+1</f>
        <v>28</v>
      </c>
      <c r="AK90" s="277">
        <v>27.0</v>
      </c>
      <c r="AL90" s="54">
        <f t="shared" si="10"/>
        <v>0</v>
      </c>
      <c r="AM90" s="198" t="str">
        <f>IF(K90="",AM88,K90)</f>
        <v/>
      </c>
      <c r="AN90" s="54"/>
      <c r="AO90" s="241"/>
      <c r="AP90" s="242" t="str">
        <f t="shared" si="22"/>
        <v/>
      </c>
      <c r="AQ90" s="242" t="str">
        <f t="shared" ref="AQ90:AV90" si="134">IF(F90="",AP90,F90)</f>
        <v/>
      </c>
      <c r="AR90" s="242" t="str">
        <f t="shared" si="134"/>
        <v/>
      </c>
      <c r="AS90" s="242" t="str">
        <f t="shared" si="134"/>
        <v/>
      </c>
      <c r="AT90" s="242" t="str">
        <f t="shared" si="134"/>
        <v/>
      </c>
      <c r="AU90" s="242" t="str">
        <f t="shared" si="134"/>
        <v/>
      </c>
      <c r="AV90" s="242" t="str">
        <f t="shared" si="134"/>
        <v/>
      </c>
      <c r="AW90" s="278" t="str">
        <f t="shared" si="30"/>
        <v/>
      </c>
      <c r="AX90" s="244">
        <f>if(AND(AW90=AX$34,$AL90&gt;0),ROW(),0)</f>
        <v>0</v>
      </c>
      <c r="AY90" s="244">
        <f>if(AND(AW90=AY$34,$AL90&gt;0),ROW(),0)</f>
        <v>0</v>
      </c>
      <c r="AZ90" s="279" t="str">
        <f>IF(AW90="","",AW90-AW88)</f>
        <v/>
      </c>
      <c r="BA90" s="246">
        <f>if(BB90&gt;0,row(),0)</f>
        <v>90</v>
      </c>
      <c r="BB90" s="246">
        <f>max(if(E90=AW$30,COLUMN(E90),0),if(F90=AW$30,COLUMN(F90),0),if(G90=AW$30,COLUMN(G90),0),if(H90=AW$30,COLUMN(H90),0),if(I90=AW$30,COLUMN(I90),0),if(J90=AW$30,COLUMN(J90),0),if(K90=AW$30,COLUMN(K90),0))</f>
        <v>11</v>
      </c>
      <c r="BC90" s="247" t="str">
        <f>IF(BD90="","",IF(AZ90="","",BD90))</f>
        <v/>
      </c>
      <c r="BD90" s="248">
        <f>IF(AL90=0,BD88,IF(AL91=0,BD88,((AW91+(((-AZ90)*$BD$7)/AL91)+sum($BE$38:BE88))/AK90)))</f>
        <v>0</v>
      </c>
      <c r="BE90" s="249">
        <f>IF(AL90=0,BE88,IF(AL91=0,BE88,AW91+(((-AZ90)*$BD$7)/AL91)))</f>
        <v>0</v>
      </c>
      <c r="BF90" s="54"/>
      <c r="BG90" s="54"/>
      <c r="BH90" s="54"/>
      <c r="BI90" s="54"/>
      <c r="BJ90" s="173" t="str">
        <f>text(B90,"YYYY MMM")</f>
        <v/>
      </c>
      <c r="BK90" s="173"/>
      <c r="BL90" s="174" t="str">
        <f>if($G$13="Disable","", if($G$9="","",if(and($G$9="Male",count($N90:$O90)&lt;&gt;2),"",
if(and($G$9="Male",count($N90:$O90)=2),round(if($N90="","",
     if($G$14="cm",86.01*log($N90-$O90)-70.041*log($G$15)+30.3,
     if($G$14="inch",86.01*log(($N90-$O90)*2.54)-70.041*log($G$15*2.54)+30.3))),0),                                         
if(and($G$9="Female",count($N90:$P90)&lt;&gt;3),"",
if(and($G$9="Female",count($N90:$P90)=3),round(if($N90="","",
        if($G$14="cm",495/(1.29579-0.35004*log10($N90+$P90-$O90)+0.221 * log10($G$15))-450,
        if($G$14="inch",495/(1.29579-0.35004*log10(($N90+$P90-$O90)*2.54)+0.221 * log10($G$15*2.54))-450))),0)))))))</f>
        <v/>
      </c>
      <c r="BM90" s="173"/>
      <c r="BN90" s="175"/>
      <c r="BO90" s="253"/>
      <c r="BP90" s="250" t="str">
        <f t="shared" si="36"/>
        <v/>
      </c>
      <c r="BQ90" s="253"/>
      <c r="BR90" s="250"/>
      <c r="BS90" s="250" t="str">
        <f t="shared" si="15"/>
        <v/>
      </c>
      <c r="BT90" s="250" t="str">
        <f t="shared" si="37"/>
        <v/>
      </c>
      <c r="BU90" s="253" t="str">
        <f t="shared" si="33"/>
        <v/>
      </c>
      <c r="BV90" s="254" t="b">
        <f t="shared" si="17"/>
        <v>0</v>
      </c>
      <c r="BW90" s="175" t="str">
        <f t="shared" si="38"/>
        <v/>
      </c>
      <c r="BX90" s="44" t="b">
        <f t="shared" si="19"/>
        <v>0</v>
      </c>
      <c r="BY90" s="202" t="b">
        <f t="shared" si="20"/>
        <v>0</v>
      </c>
      <c r="BZ90" s="203">
        <f t="shared" si="25"/>
        <v>0</v>
      </c>
      <c r="CA90" s="175">
        <f t="shared" si="26"/>
        <v>0</v>
      </c>
      <c r="CB90" s="175"/>
      <c r="CC90" s="173"/>
      <c r="CD90" s="173"/>
    </row>
    <row r="91" ht="15.75" customHeight="1">
      <c r="A91" s="11"/>
      <c r="B91" s="255"/>
      <c r="C91" s="256"/>
      <c r="D91" s="257" t="str">
        <f t="shared" si="27"/>
        <v>Calories</v>
      </c>
      <c r="E91" s="258"/>
      <c r="F91" s="280"/>
      <c r="G91" s="259"/>
      <c r="H91" s="259"/>
      <c r="I91" s="259"/>
      <c r="J91" s="259"/>
      <c r="K91" s="259"/>
      <c r="L91" s="260" t="str">
        <f t="shared" si="6"/>
        <v/>
      </c>
      <c r="M91" s="261"/>
      <c r="N91" s="255"/>
      <c r="O91" s="255"/>
      <c r="P91" s="255"/>
      <c r="Q91" s="255"/>
      <c r="R91" s="255"/>
      <c r="S91" s="255"/>
      <c r="T91" s="231"/>
      <c r="U91" s="255"/>
      <c r="V91" s="233"/>
      <c r="W91" s="262"/>
      <c r="X91" s="262"/>
      <c r="Y91" s="263"/>
      <c r="Z91" s="173"/>
      <c r="AA91" s="173"/>
      <c r="AC91" s="173"/>
      <c r="AD91" s="173"/>
      <c r="AE91" s="173"/>
      <c r="AF91" s="173"/>
      <c r="AG91" s="173"/>
      <c r="AH91" s="173"/>
      <c r="AI91" s="173"/>
      <c r="AJ91" s="296">
        <f>AJ90+0.5</f>
        <v>28.5</v>
      </c>
      <c r="AK91" s="69"/>
      <c r="AL91" s="54">
        <f t="shared" si="10"/>
        <v>0</v>
      </c>
      <c r="AM91" s="183" t="str">
        <f>AM90</f>
        <v/>
      </c>
      <c r="AN91" s="54"/>
      <c r="AO91" s="267"/>
      <c r="AP91" s="242" t="str">
        <f t="shared" si="22"/>
        <v/>
      </c>
      <c r="AQ91" s="242" t="str">
        <f t="shared" ref="AQ91:AV91" si="135">IF(F91="",AP91,F91)</f>
        <v/>
      </c>
      <c r="AR91" s="242" t="str">
        <f t="shared" si="135"/>
        <v/>
      </c>
      <c r="AS91" s="242" t="str">
        <f t="shared" si="135"/>
        <v/>
      </c>
      <c r="AT91" s="242" t="str">
        <f t="shared" si="135"/>
        <v/>
      </c>
      <c r="AU91" s="242" t="str">
        <f t="shared" si="135"/>
        <v/>
      </c>
      <c r="AV91" s="242" t="str">
        <f t="shared" si="135"/>
        <v/>
      </c>
      <c r="AW91" s="268" t="str">
        <f t="shared" si="30"/>
        <v/>
      </c>
      <c r="AX91" s="269"/>
      <c r="AY91" s="270"/>
      <c r="AZ91" s="271"/>
      <c r="BA91" s="246"/>
      <c r="BB91" s="246"/>
      <c r="BC91" s="263"/>
      <c r="BD91" s="66"/>
      <c r="BE91" s="69"/>
      <c r="BF91" s="54"/>
      <c r="BG91" s="54"/>
      <c r="BH91" s="54"/>
      <c r="BI91" s="54"/>
      <c r="BK91" s="173"/>
      <c r="BM91" s="173"/>
      <c r="BN91" s="175"/>
      <c r="BO91" s="253"/>
      <c r="BP91" s="250" t="str">
        <f t="shared" si="36"/>
        <v/>
      </c>
      <c r="BQ91" s="253"/>
      <c r="BR91" s="250"/>
      <c r="BS91" s="250" t="str">
        <f t="shared" si="15"/>
        <v/>
      </c>
      <c r="BT91" s="250" t="str">
        <f t="shared" si="37"/>
        <v/>
      </c>
      <c r="BU91" s="253" t="str">
        <f t="shared" si="33"/>
        <v/>
      </c>
      <c r="BV91" s="254" t="b">
        <f t="shared" si="17"/>
        <v>0</v>
      </c>
      <c r="BW91" s="175" t="str">
        <f t="shared" si="38"/>
        <v/>
      </c>
      <c r="BX91" s="44" t="b">
        <f t="shared" si="19"/>
        <v>0</v>
      </c>
      <c r="BY91" s="202" t="b">
        <f t="shared" si="20"/>
        <v>0</v>
      </c>
      <c r="BZ91" s="203">
        <f t="shared" si="25"/>
        <v>0</v>
      </c>
      <c r="CA91" s="175">
        <f t="shared" si="26"/>
        <v>0</v>
      </c>
      <c r="CB91" s="175"/>
      <c r="CC91" s="173"/>
      <c r="CD91" s="173"/>
    </row>
    <row r="92" ht="15.75" customHeight="1">
      <c r="A92" s="11"/>
      <c r="B92" s="221" t="str">
        <f>IF(B90="","",B90+7)</f>
        <v/>
      </c>
      <c r="C92" s="222"/>
      <c r="D92" s="223" t="str">
        <f t="shared" si="27"/>
        <v>Weight</v>
      </c>
      <c r="E92" s="282"/>
      <c r="F92" s="274"/>
      <c r="G92" s="274"/>
      <c r="H92" s="297"/>
      <c r="I92" s="297"/>
      <c r="J92" s="297"/>
      <c r="K92" s="297"/>
      <c r="L92" s="284" t="str">
        <f t="shared" si="6"/>
        <v/>
      </c>
      <c r="M92" s="227"/>
      <c r="N92" s="228"/>
      <c r="O92" s="228"/>
      <c r="P92" s="228"/>
      <c r="Q92" s="276" t="str">
        <f>BL92</f>
        <v/>
      </c>
      <c r="R92" s="228"/>
      <c r="S92" s="230" t="str">
        <f>IFERROR(__xludf.DUMMYFUNCTION("IF(L92="""","""",(L92-index(filter($L$36:L90,$L$36:L90&lt;&gt;"""",ISEVEN(row($L$36:L90))),count(filter($L$36:L90,$L$36:L90&lt;&gt;"""",iseven(row($L$36:L90)))),1)))"),"")</f>
        <v/>
      </c>
      <c r="T92" s="231"/>
      <c r="U92" s="232" t="str">
        <f>if(BD$24=FALSE,"",IF(L92="","",BC92))</f>
        <v/>
      </c>
      <c r="V92" s="233"/>
      <c r="W92" s="234">
        <f>IF(count(S92:S93)&gt;1,1,0)</f>
        <v>0</v>
      </c>
      <c r="X92" s="235" t="str">
        <f>if(Y92="","","Week 29")</f>
        <v/>
      </c>
      <c r="Y92" s="236" t="str">
        <f>IF(S92="","",text(B92,"MMM-YY"))</f>
        <v/>
      </c>
      <c r="Z92" s="173"/>
      <c r="AA92" s="173"/>
      <c r="AC92" s="173"/>
      <c r="AD92" s="173"/>
      <c r="AE92" s="173"/>
      <c r="AF92" s="173"/>
      <c r="AG92" s="173"/>
      <c r="AH92" s="173"/>
      <c r="AI92" s="173"/>
      <c r="AJ92" s="296">
        <f>AJ90+1</f>
        <v>29</v>
      </c>
      <c r="AK92" s="277">
        <v>28.0</v>
      </c>
      <c r="AL92" s="54">
        <f t="shared" si="10"/>
        <v>0</v>
      </c>
      <c r="AM92" s="198" t="str">
        <f>IF(K92="",AM90,K92)</f>
        <v/>
      </c>
      <c r="AN92" s="54"/>
      <c r="AO92" s="241"/>
      <c r="AP92" s="242" t="str">
        <f t="shared" si="22"/>
        <v/>
      </c>
      <c r="AQ92" s="242" t="str">
        <f t="shared" ref="AQ92:AV92" si="136">IF(F92="",AP92,F92)</f>
        <v/>
      </c>
      <c r="AR92" s="242" t="str">
        <f t="shared" si="136"/>
        <v/>
      </c>
      <c r="AS92" s="242" t="str">
        <f t="shared" si="136"/>
        <v/>
      </c>
      <c r="AT92" s="242" t="str">
        <f t="shared" si="136"/>
        <v/>
      </c>
      <c r="AU92" s="242" t="str">
        <f t="shared" si="136"/>
        <v/>
      </c>
      <c r="AV92" s="242" t="str">
        <f t="shared" si="136"/>
        <v/>
      </c>
      <c r="AW92" s="278" t="str">
        <f t="shared" si="30"/>
        <v/>
      </c>
      <c r="AX92" s="244">
        <f>if(AND(AW92=AX$34,$AL92&gt;0),ROW(),0)</f>
        <v>0</v>
      </c>
      <c r="AY92" s="244">
        <f>if(AND(AW92=AY$34,$AL92&gt;0),ROW(),0)</f>
        <v>0</v>
      </c>
      <c r="AZ92" s="279" t="str">
        <f>IF(AW92="","",AW92-AW90)</f>
        <v/>
      </c>
      <c r="BA92" s="246">
        <f>if(BB92&gt;0,row(),0)</f>
        <v>92</v>
      </c>
      <c r="BB92" s="246">
        <f>max(if(E92=AW$30,COLUMN(E92),0),if(F92=AW$30,COLUMN(F92),0),if(G92=AW$30,COLUMN(G92),0),if(H92=AW$30,COLUMN(H92),0),if(I92=AW$30,COLUMN(I92),0),if(J92=AW$30,COLUMN(J92),0),if(K92=AW$30,COLUMN(K92),0))</f>
        <v>11</v>
      </c>
      <c r="BC92" s="247" t="str">
        <f>IF(BD92="","",IF(AZ92="","",BD92))</f>
        <v/>
      </c>
      <c r="BD92" s="248">
        <f>IF(AL92=0,BD90,IF(AL93=0,BD90,((AW93+(((-AZ92)*$BD$7)/AL93)+sum($BE$38:BE90))/AK92)))</f>
        <v>0</v>
      </c>
      <c r="BE92" s="249">
        <f>IF(AL92=0,BE90,IF(AL93=0,BE90,AW93+(((-AZ92)*$BD$7)/AL93)))</f>
        <v>0</v>
      </c>
      <c r="BF92" s="54"/>
      <c r="BG92" s="54"/>
      <c r="BH92" s="54"/>
      <c r="BI92" s="54"/>
      <c r="BJ92" s="173" t="str">
        <f>text(B92,"YYYY MMM")</f>
        <v/>
      </c>
      <c r="BK92" s="173"/>
      <c r="BL92" s="174" t="str">
        <f>if($G$13="Disable","", if($G$9="","",if(and($G$9="Male",count($N92:$O92)&lt;&gt;2),"",
if(and($G$9="Male",count($N92:$O92)=2),round(if($N92="","",
     if($G$14="cm",86.01*log($N92-$O92)-70.041*log($G$15)+30.3,
     if($G$14="inch",86.01*log(($N92-$O92)*2.54)-70.041*log($G$15*2.54)+30.3))),0),                                         
if(and($G$9="Female",count($N92:$P92)&lt;&gt;3),"",
if(and($G$9="Female",count($N92:$P92)=3),round(if($N92="","",
        if($G$14="cm",495/(1.29579-0.35004*log10($N92+$P92-$O92)+0.221 * log10($G$15))-450,
        if($G$14="inch",495/(1.29579-0.35004*log10(($N92+$P92-$O92)*2.54)+0.221 * log10($G$15*2.54))-450))),0)))))))</f>
        <v/>
      </c>
      <c r="BM92" s="173"/>
      <c r="BN92" s="175"/>
      <c r="BO92" s="253"/>
      <c r="BP92" s="250" t="str">
        <f t="shared" si="36"/>
        <v/>
      </c>
      <c r="BQ92" s="253"/>
      <c r="BR92" s="250"/>
      <c r="BS92" s="250" t="str">
        <f t="shared" si="15"/>
        <v/>
      </c>
      <c r="BT92" s="250" t="str">
        <f t="shared" si="37"/>
        <v/>
      </c>
      <c r="BU92" s="253" t="str">
        <f t="shared" si="33"/>
        <v/>
      </c>
      <c r="BV92" s="254" t="b">
        <f t="shared" si="17"/>
        <v>0</v>
      </c>
      <c r="BW92" s="175" t="str">
        <f t="shared" si="38"/>
        <v/>
      </c>
      <c r="BX92" s="44" t="b">
        <f t="shared" si="19"/>
        <v>0</v>
      </c>
      <c r="BY92" s="202" t="b">
        <f t="shared" si="20"/>
        <v>0</v>
      </c>
      <c r="BZ92" s="203">
        <f t="shared" si="25"/>
        <v>0</v>
      </c>
      <c r="CA92" s="175">
        <f t="shared" si="26"/>
        <v>0</v>
      </c>
      <c r="CB92" s="175"/>
      <c r="CC92" s="173"/>
      <c r="CD92" s="173"/>
    </row>
    <row r="93" ht="15.75" customHeight="1">
      <c r="A93" s="11"/>
      <c r="B93" s="255"/>
      <c r="C93" s="256"/>
      <c r="D93" s="257" t="str">
        <f t="shared" si="27"/>
        <v>Calories</v>
      </c>
      <c r="E93" s="285"/>
      <c r="F93" s="259"/>
      <c r="G93" s="298"/>
      <c r="H93" s="299"/>
      <c r="I93" s="299"/>
      <c r="J93" s="299"/>
      <c r="K93" s="299"/>
      <c r="L93" s="260" t="str">
        <f t="shared" si="6"/>
        <v/>
      </c>
      <c r="M93" s="261"/>
      <c r="N93" s="255"/>
      <c r="O93" s="255"/>
      <c r="P93" s="255"/>
      <c r="Q93" s="255"/>
      <c r="R93" s="255"/>
      <c r="S93" s="255"/>
      <c r="T93" s="231"/>
      <c r="U93" s="255"/>
      <c r="V93" s="233"/>
      <c r="W93" s="262"/>
      <c r="X93" s="262"/>
      <c r="Y93" s="263"/>
      <c r="Z93" s="173"/>
      <c r="AA93" s="173"/>
      <c r="AC93" s="173"/>
      <c r="AD93" s="173"/>
      <c r="AE93" s="173"/>
      <c r="AF93" s="173"/>
      <c r="AG93" s="173"/>
      <c r="AH93" s="173"/>
      <c r="AI93" s="173"/>
      <c r="AJ93" s="296">
        <f>AJ92+0.5</f>
        <v>29.5</v>
      </c>
      <c r="AK93" s="69"/>
      <c r="AL93" s="54">
        <f t="shared" si="10"/>
        <v>0</v>
      </c>
      <c r="AM93" s="183" t="str">
        <f>AM92</f>
        <v/>
      </c>
      <c r="AN93" s="54"/>
      <c r="AO93" s="267"/>
      <c r="AP93" s="242" t="str">
        <f t="shared" si="22"/>
        <v/>
      </c>
      <c r="AQ93" s="242" t="str">
        <f t="shared" ref="AQ93:AV93" si="137">IF(F93="",AP93,F93)</f>
        <v/>
      </c>
      <c r="AR93" s="242" t="str">
        <f t="shared" si="137"/>
        <v/>
      </c>
      <c r="AS93" s="242" t="str">
        <f t="shared" si="137"/>
        <v/>
      </c>
      <c r="AT93" s="242" t="str">
        <f t="shared" si="137"/>
        <v/>
      </c>
      <c r="AU93" s="242" t="str">
        <f t="shared" si="137"/>
        <v/>
      </c>
      <c r="AV93" s="242" t="str">
        <f t="shared" si="137"/>
        <v/>
      </c>
      <c r="AW93" s="268" t="str">
        <f t="shared" si="30"/>
        <v/>
      </c>
      <c r="AX93" s="269"/>
      <c r="AY93" s="270"/>
      <c r="AZ93" s="271"/>
      <c r="BA93" s="246"/>
      <c r="BB93" s="246"/>
      <c r="BC93" s="263"/>
      <c r="BD93" s="66"/>
      <c r="BE93" s="69"/>
      <c r="BF93" s="54"/>
      <c r="BG93" s="54"/>
      <c r="BH93" s="54"/>
      <c r="BI93" s="54"/>
      <c r="BK93" s="173"/>
      <c r="BM93" s="173"/>
      <c r="BN93" s="175"/>
      <c r="BO93" s="253"/>
      <c r="BP93" s="250" t="str">
        <f t="shared" si="36"/>
        <v/>
      </c>
      <c r="BQ93" s="253"/>
      <c r="BR93" s="250"/>
      <c r="BS93" s="250" t="str">
        <f t="shared" si="15"/>
        <v/>
      </c>
      <c r="BT93" s="250" t="str">
        <f t="shared" si="37"/>
        <v/>
      </c>
      <c r="BU93" s="253" t="str">
        <f t="shared" si="33"/>
        <v/>
      </c>
      <c r="BV93" s="254" t="b">
        <f t="shared" si="17"/>
        <v>0</v>
      </c>
      <c r="BW93" s="175" t="str">
        <f t="shared" si="38"/>
        <v/>
      </c>
      <c r="BX93" s="44" t="b">
        <f t="shared" si="19"/>
        <v>0</v>
      </c>
      <c r="BY93" s="202" t="b">
        <f t="shared" si="20"/>
        <v>0</v>
      </c>
      <c r="BZ93" s="203">
        <f t="shared" si="25"/>
        <v>0</v>
      </c>
      <c r="CA93" s="175">
        <f t="shared" si="26"/>
        <v>0</v>
      </c>
      <c r="CB93" s="175"/>
      <c r="CC93" s="173"/>
      <c r="CD93" s="173"/>
    </row>
    <row r="94" ht="15.75" customHeight="1">
      <c r="A94" s="11"/>
      <c r="B94" s="221" t="str">
        <f>IF(B92="","",B92+7)</f>
        <v/>
      </c>
      <c r="C94" s="222"/>
      <c r="D94" s="223" t="str">
        <f t="shared" si="27"/>
        <v>Weight</v>
      </c>
      <c r="E94" s="224"/>
      <c r="F94" s="300"/>
      <c r="G94" s="225"/>
      <c r="H94" s="225"/>
      <c r="I94" s="225"/>
      <c r="J94" s="225"/>
      <c r="K94" s="225"/>
      <c r="L94" s="284" t="str">
        <f t="shared" si="6"/>
        <v/>
      </c>
      <c r="M94" s="227"/>
      <c r="N94" s="228"/>
      <c r="O94" s="228"/>
      <c r="P94" s="228"/>
      <c r="Q94" s="276" t="str">
        <f>BL94</f>
        <v/>
      </c>
      <c r="R94" s="228"/>
      <c r="S94" s="230" t="str">
        <f>IFERROR(__xludf.DUMMYFUNCTION("IF(L94="""","""",(L94-index(filter($L$36:L92,$L$36:L92&lt;&gt;"""",ISEVEN(row($L$36:L92))),count(filter($L$36:L92,$L$36:L92&lt;&gt;"""",iseven(row($L$36:L92)))),1)))"),"")</f>
        <v/>
      </c>
      <c r="T94" s="231"/>
      <c r="U94" s="232" t="str">
        <f>if(BD$24=FALSE,"",IF(L94="","",BC94))</f>
        <v/>
      </c>
      <c r="V94" s="233"/>
      <c r="W94" s="234">
        <f>IF(count(S94:S95)&gt;1,1,0)</f>
        <v>0</v>
      </c>
      <c r="X94" s="235" t="str">
        <f>if(Y94="","","Week 30")</f>
        <v/>
      </c>
      <c r="Y94" s="236" t="str">
        <f>IF(S94="","",text(B94,"MMM-YY"))</f>
        <v/>
      </c>
      <c r="Z94" s="173"/>
      <c r="AA94" s="173"/>
      <c r="AC94" s="173"/>
      <c r="AD94" s="173"/>
      <c r="AE94" s="173"/>
      <c r="AF94" s="173"/>
      <c r="AG94" s="173"/>
      <c r="AH94" s="173"/>
      <c r="AI94" s="173"/>
      <c r="AJ94" s="296">
        <f>AJ92+1</f>
        <v>30</v>
      </c>
      <c r="AK94" s="277">
        <v>29.0</v>
      </c>
      <c r="AL94" s="54">
        <f t="shared" si="10"/>
        <v>0</v>
      </c>
      <c r="AM94" s="198" t="str">
        <f>IF(K94="",AM92,K94)</f>
        <v/>
      </c>
      <c r="AN94" s="54"/>
      <c r="AO94" s="241"/>
      <c r="AP94" s="242" t="str">
        <f t="shared" si="22"/>
        <v/>
      </c>
      <c r="AQ94" s="242" t="str">
        <f t="shared" ref="AQ94:AV94" si="138">IF(F94="",AP94,F94)</f>
        <v/>
      </c>
      <c r="AR94" s="242" t="str">
        <f t="shared" si="138"/>
        <v/>
      </c>
      <c r="AS94" s="242" t="str">
        <f t="shared" si="138"/>
        <v/>
      </c>
      <c r="AT94" s="242" t="str">
        <f t="shared" si="138"/>
        <v/>
      </c>
      <c r="AU94" s="242" t="str">
        <f t="shared" si="138"/>
        <v/>
      </c>
      <c r="AV94" s="242" t="str">
        <f t="shared" si="138"/>
        <v/>
      </c>
      <c r="AW94" s="278" t="str">
        <f t="shared" si="30"/>
        <v/>
      </c>
      <c r="AX94" s="244">
        <f>if(AND(AW94=AX$34,$AL94&gt;0),ROW(),0)</f>
        <v>0</v>
      </c>
      <c r="AY94" s="244">
        <f>if(AND(AW94=AY$34,$AL94&gt;0),ROW(),0)</f>
        <v>0</v>
      </c>
      <c r="AZ94" s="279" t="str">
        <f>IF(AW94="","",AW94-AW92)</f>
        <v/>
      </c>
      <c r="BA94" s="246">
        <f>if(BB94&gt;0,row(),0)</f>
        <v>94</v>
      </c>
      <c r="BB94" s="246">
        <f>max(if(E94=AW$30,COLUMN(E94),0),if(F94=AW$30,COLUMN(F94),0),if(G94=AW$30,COLUMN(G94),0),if(H94=AW$30,COLUMN(H94),0),if(I94=AW$30,COLUMN(I94),0),if(J94=AW$30,COLUMN(J94),0),if(K94=AW$30,COLUMN(K94),0))</f>
        <v>11</v>
      </c>
      <c r="BC94" s="247" t="str">
        <f>IF(BD94="","",IF(AZ94="","",BD94))</f>
        <v/>
      </c>
      <c r="BD94" s="248">
        <f>IF(AL94=0,BD92,IF(AL95=0,BD92,((AW95+(((-AZ94)*$BD$7)/AL95)+sum($BE$38:BE92))/AK94)))</f>
        <v>0</v>
      </c>
      <c r="BE94" s="249">
        <f>IF(AL94=0,BE92,IF(AL95=0,BE92,AW95+(((-AZ94)*$BD$7)/AL95)))</f>
        <v>0</v>
      </c>
      <c r="BF94" s="54"/>
      <c r="BG94" s="54"/>
      <c r="BH94" s="54"/>
      <c r="BI94" s="54"/>
      <c r="BJ94" s="173" t="str">
        <f>text(B94,"YYYY MMM")</f>
        <v/>
      </c>
      <c r="BK94" s="173"/>
      <c r="BL94" s="174" t="str">
        <f>if($G$13="Disable","", if($G$9="","",if(and($G$9="Male",count($N94:$O94)&lt;&gt;2),"",
if(and($G$9="Male",count($N94:$O94)=2),round(if($N94="","",
     if($G$14="cm",86.01*log($N94-$O94)-70.041*log($G$15)+30.3,
     if($G$14="inch",86.01*log(($N94-$O94)*2.54)-70.041*log($G$15*2.54)+30.3))),0),                                         
if(and($G$9="Female",count($N94:$P94)&lt;&gt;3),"",
if(and($G$9="Female",count($N94:$P94)=3),round(if($N94="","",
        if($G$14="cm",495/(1.29579-0.35004*log10($N94+$P94-$O94)+0.221 * log10($G$15))-450,
        if($G$14="inch",495/(1.29579-0.35004*log10(($N94+$P94-$O94)*2.54)+0.221 * log10($G$15*2.54))-450))),0)))))))</f>
        <v/>
      </c>
      <c r="BM94" s="173"/>
      <c r="BN94" s="175"/>
      <c r="BO94" s="253"/>
      <c r="BP94" s="250" t="str">
        <f t="shared" si="36"/>
        <v/>
      </c>
      <c r="BQ94" s="253"/>
      <c r="BR94" s="250"/>
      <c r="BS94" s="250" t="str">
        <f t="shared" si="15"/>
        <v/>
      </c>
      <c r="BT94" s="250" t="str">
        <f t="shared" si="37"/>
        <v/>
      </c>
      <c r="BU94" s="253" t="str">
        <f t="shared" si="33"/>
        <v/>
      </c>
      <c r="BV94" s="254" t="b">
        <f t="shared" si="17"/>
        <v>0</v>
      </c>
      <c r="BW94" s="175" t="str">
        <f t="shared" si="38"/>
        <v/>
      </c>
      <c r="BX94" s="44" t="b">
        <f t="shared" si="19"/>
        <v>0</v>
      </c>
      <c r="BY94" s="202" t="b">
        <f t="shared" si="20"/>
        <v>0</v>
      </c>
      <c r="BZ94" s="203">
        <f t="shared" si="25"/>
        <v>0</v>
      </c>
      <c r="CA94" s="175">
        <f t="shared" si="26"/>
        <v>0</v>
      </c>
      <c r="CB94" s="175"/>
      <c r="CC94" s="173"/>
      <c r="CD94" s="173"/>
    </row>
    <row r="95" ht="15.75" customHeight="1">
      <c r="A95" s="11"/>
      <c r="B95" s="255"/>
      <c r="C95" s="256"/>
      <c r="D95" s="257" t="str">
        <f t="shared" si="27"/>
        <v>Calories</v>
      </c>
      <c r="E95" s="258"/>
      <c r="F95" s="280"/>
      <c r="G95" s="259"/>
      <c r="H95" s="259"/>
      <c r="I95" s="259"/>
      <c r="J95" s="259"/>
      <c r="K95" s="259"/>
      <c r="L95" s="260" t="str">
        <f t="shared" si="6"/>
        <v/>
      </c>
      <c r="M95" s="261"/>
      <c r="N95" s="255"/>
      <c r="O95" s="255"/>
      <c r="P95" s="255"/>
      <c r="Q95" s="255"/>
      <c r="R95" s="255"/>
      <c r="S95" s="255"/>
      <c r="T95" s="231"/>
      <c r="U95" s="255"/>
      <c r="V95" s="233"/>
      <c r="W95" s="262"/>
      <c r="X95" s="262"/>
      <c r="Y95" s="263"/>
      <c r="Z95" s="173"/>
      <c r="AA95" s="173"/>
      <c r="AC95" s="173"/>
      <c r="AD95" s="173"/>
      <c r="AE95" s="173"/>
      <c r="AF95" s="173"/>
      <c r="AG95" s="173"/>
      <c r="AH95" s="173"/>
      <c r="AI95" s="173"/>
      <c r="AJ95" s="296">
        <f>AJ94+0.5</f>
        <v>30.5</v>
      </c>
      <c r="AK95" s="69"/>
      <c r="AL95" s="54">
        <f t="shared" si="10"/>
        <v>0</v>
      </c>
      <c r="AM95" s="183" t="str">
        <f>AM94</f>
        <v/>
      </c>
      <c r="AN95" s="54"/>
      <c r="AO95" s="267"/>
      <c r="AP95" s="242" t="str">
        <f t="shared" si="22"/>
        <v/>
      </c>
      <c r="AQ95" s="242" t="str">
        <f t="shared" ref="AQ95:AV95" si="139">IF(F95="",AP95,F95)</f>
        <v/>
      </c>
      <c r="AR95" s="242" t="str">
        <f t="shared" si="139"/>
        <v/>
      </c>
      <c r="AS95" s="242" t="str">
        <f t="shared" si="139"/>
        <v/>
      </c>
      <c r="AT95" s="242" t="str">
        <f t="shared" si="139"/>
        <v/>
      </c>
      <c r="AU95" s="242" t="str">
        <f t="shared" si="139"/>
        <v/>
      </c>
      <c r="AV95" s="242" t="str">
        <f t="shared" si="139"/>
        <v/>
      </c>
      <c r="AW95" s="268" t="str">
        <f t="shared" si="30"/>
        <v/>
      </c>
      <c r="AX95" s="269"/>
      <c r="AY95" s="270"/>
      <c r="AZ95" s="271"/>
      <c r="BA95" s="246"/>
      <c r="BB95" s="246"/>
      <c r="BC95" s="263"/>
      <c r="BD95" s="66"/>
      <c r="BE95" s="69"/>
      <c r="BF95" s="54"/>
      <c r="BG95" s="54"/>
      <c r="BH95" s="54"/>
      <c r="BI95" s="54"/>
      <c r="BK95" s="173"/>
      <c r="BM95" s="173"/>
      <c r="BN95" s="175"/>
      <c r="BO95" s="253"/>
      <c r="BP95" s="250" t="str">
        <f t="shared" si="36"/>
        <v/>
      </c>
      <c r="BQ95" s="253"/>
      <c r="BR95" s="250"/>
      <c r="BS95" s="250" t="str">
        <f t="shared" si="15"/>
        <v/>
      </c>
      <c r="BT95" s="250" t="str">
        <f t="shared" si="37"/>
        <v/>
      </c>
      <c r="BU95" s="253" t="str">
        <f t="shared" si="33"/>
        <v/>
      </c>
      <c r="BV95" s="254" t="b">
        <f t="shared" si="17"/>
        <v>0</v>
      </c>
      <c r="BW95" s="175" t="str">
        <f t="shared" si="38"/>
        <v/>
      </c>
      <c r="BX95" s="44" t="b">
        <f t="shared" si="19"/>
        <v>0</v>
      </c>
      <c r="BY95" s="202" t="b">
        <f t="shared" si="20"/>
        <v>0</v>
      </c>
      <c r="BZ95" s="203">
        <f t="shared" si="25"/>
        <v>0</v>
      </c>
      <c r="CA95" s="175">
        <f t="shared" si="26"/>
        <v>0</v>
      </c>
      <c r="CB95" s="175"/>
      <c r="CC95" s="173"/>
      <c r="CD95" s="173"/>
    </row>
    <row r="96" ht="15.75" customHeight="1">
      <c r="A96" s="11"/>
      <c r="B96" s="221" t="str">
        <f>IF(B94="","",B94+7)</f>
        <v/>
      </c>
      <c r="C96" s="222"/>
      <c r="D96" s="223" t="str">
        <f t="shared" si="27"/>
        <v>Weight</v>
      </c>
      <c r="E96" s="272"/>
      <c r="F96" s="272"/>
      <c r="G96" s="272"/>
      <c r="H96" s="272"/>
      <c r="I96" s="272"/>
      <c r="J96" s="272"/>
      <c r="K96" s="272"/>
      <c r="L96" s="284" t="str">
        <f t="shared" si="6"/>
        <v/>
      </c>
      <c r="M96" s="227"/>
      <c r="N96" s="228"/>
      <c r="O96" s="228"/>
      <c r="P96" s="228"/>
      <c r="Q96" s="276" t="str">
        <f>BL96</f>
        <v/>
      </c>
      <c r="R96" s="228"/>
      <c r="S96" s="230" t="str">
        <f>IFERROR(__xludf.DUMMYFUNCTION("IF(L96="""","""",(L96-index(filter($L$36:L94,$L$36:L94&lt;&gt;"""",ISEVEN(row($L$36:L94))),count(filter($L$36:L94,$L$36:L94&lt;&gt;"""",iseven(row($L$36:L94)))),1)))"),"")</f>
        <v/>
      </c>
      <c r="T96" s="231"/>
      <c r="U96" s="232" t="str">
        <f>if(BD$24=FALSE,"",IF(L96="","",BC96))</f>
        <v/>
      </c>
      <c r="V96" s="233"/>
      <c r="W96" s="234">
        <f>IF(count(S96:S97)&gt;1,1,0)</f>
        <v>0</v>
      </c>
      <c r="X96" s="235" t="str">
        <f>if(Y96="","","Week 31")</f>
        <v/>
      </c>
      <c r="Y96" s="236" t="str">
        <f>IF(S96="","",text(B96,"MMM-YY"))</f>
        <v/>
      </c>
      <c r="Z96" s="173"/>
      <c r="AA96" s="173"/>
      <c r="AC96" s="173"/>
      <c r="AD96" s="173"/>
      <c r="AE96" s="173"/>
      <c r="AF96" s="173"/>
      <c r="AG96" s="173"/>
      <c r="AH96" s="173"/>
      <c r="AI96" s="173"/>
      <c r="AJ96" s="296">
        <f>AJ94+1</f>
        <v>31</v>
      </c>
      <c r="AK96" s="277">
        <v>30.0</v>
      </c>
      <c r="AL96" s="54">
        <f t="shared" si="10"/>
        <v>0</v>
      </c>
      <c r="AM96" s="198" t="str">
        <f>IF(K96="",AM94,K96)</f>
        <v/>
      </c>
      <c r="AN96" s="54"/>
      <c r="AO96" s="241"/>
      <c r="AP96" s="242" t="str">
        <f t="shared" si="22"/>
        <v/>
      </c>
      <c r="AQ96" s="242" t="str">
        <f t="shared" ref="AQ96:AV96" si="140">IF(F96="",AP96,F96)</f>
        <v/>
      </c>
      <c r="AR96" s="242" t="str">
        <f t="shared" si="140"/>
        <v/>
      </c>
      <c r="AS96" s="242" t="str">
        <f t="shared" si="140"/>
        <v/>
      </c>
      <c r="AT96" s="242" t="str">
        <f t="shared" si="140"/>
        <v/>
      </c>
      <c r="AU96" s="242" t="str">
        <f t="shared" si="140"/>
        <v/>
      </c>
      <c r="AV96" s="242" t="str">
        <f t="shared" si="140"/>
        <v/>
      </c>
      <c r="AW96" s="278" t="str">
        <f t="shared" si="30"/>
        <v/>
      </c>
      <c r="AX96" s="244">
        <f>if(AND(AW96=AX$34,$AL96&gt;0),ROW(),0)</f>
        <v>0</v>
      </c>
      <c r="AY96" s="244">
        <f>if(AND(AW96=AY$34,$AL96&gt;0),ROW(),0)</f>
        <v>0</v>
      </c>
      <c r="AZ96" s="279" t="str">
        <f>IF(AW96="","",AW96-AW94)</f>
        <v/>
      </c>
      <c r="BA96" s="246">
        <f>if(BB96&gt;0,row(),0)</f>
        <v>96</v>
      </c>
      <c r="BB96" s="246">
        <f>max(if(E96=AW$30,COLUMN(E96),0),if(F96=AW$30,COLUMN(F96),0),if(G96=AW$30,COLUMN(G96),0),if(H96=AW$30,COLUMN(H96),0),if(I96=AW$30,COLUMN(I96),0),if(J96=AW$30,COLUMN(J96),0),if(K96=AW$30,COLUMN(K96),0))</f>
        <v>11</v>
      </c>
      <c r="BC96" s="247" t="str">
        <f>IF(BD96="","",IF(AZ96="","",BD96))</f>
        <v/>
      </c>
      <c r="BD96" s="248">
        <f>IF(AL96=0,BD94,IF(AL97=0,BD94,((AW97+(((-AZ96)*$BD$7)/AL97)+sum($BE$38:BE94))/AK96)))</f>
        <v>0</v>
      </c>
      <c r="BE96" s="249">
        <f>IF(AL96=0,BE94,IF(AL97=0,BE94,AW97+(((-AZ96)*$BD$7)/AL97)))</f>
        <v>0</v>
      </c>
      <c r="BF96" s="54"/>
      <c r="BG96" s="54"/>
      <c r="BH96" s="54"/>
      <c r="BI96" s="54"/>
      <c r="BJ96" s="173" t="str">
        <f>text(B96,"YYYY MMM")</f>
        <v/>
      </c>
      <c r="BK96" s="173"/>
      <c r="BL96" s="174" t="str">
        <f>if($G$13="Disable","", if($G$9="","",if(and($G$9="Male",count($N96:$O96)&lt;&gt;2),"",
if(and($G$9="Male",count($N96:$O96)=2),round(if($N96="","",
     if($G$14="cm",86.01*log($N96-$O96)-70.041*log($G$15)+30.3,
     if($G$14="inch",86.01*log(($N96-$O96)*2.54)-70.041*log($G$15*2.54)+30.3))),0),                                         
if(and($G$9="Female",count($N96:$P96)&lt;&gt;3),"",
if(and($G$9="Female",count($N96:$P96)=3),round(if($N96="","",
        if($G$14="cm",495/(1.29579-0.35004*log10($N96+$P96-$O96)+0.221 * log10($G$15))-450,
        if($G$14="inch",495/(1.29579-0.35004*log10(($N96+$P96-$O96)*2.54)+0.221 * log10($G$15*2.54))-450))),0)))))))</f>
        <v/>
      </c>
      <c r="BM96" s="173"/>
      <c r="BN96" s="175"/>
      <c r="BO96" s="253"/>
      <c r="BP96" s="250" t="str">
        <f t="shared" si="36"/>
        <v/>
      </c>
      <c r="BQ96" s="253"/>
      <c r="BR96" s="250"/>
      <c r="BS96" s="250" t="str">
        <f t="shared" si="15"/>
        <v/>
      </c>
      <c r="BT96" s="250" t="str">
        <f t="shared" si="37"/>
        <v/>
      </c>
      <c r="BU96" s="253" t="str">
        <f t="shared" si="33"/>
        <v/>
      </c>
      <c r="BV96" s="254" t="b">
        <f t="shared" si="17"/>
        <v>0</v>
      </c>
      <c r="BW96" s="175" t="str">
        <f t="shared" si="38"/>
        <v/>
      </c>
      <c r="BX96" s="44" t="b">
        <f t="shared" si="19"/>
        <v>0</v>
      </c>
      <c r="BY96" s="202" t="b">
        <f t="shared" si="20"/>
        <v>0</v>
      </c>
      <c r="BZ96" s="203">
        <f t="shared" si="25"/>
        <v>0</v>
      </c>
      <c r="CA96" s="175">
        <f t="shared" si="26"/>
        <v>0</v>
      </c>
      <c r="CB96" s="175"/>
      <c r="CC96" s="173"/>
      <c r="CD96" s="173"/>
    </row>
    <row r="97" ht="15.75" customHeight="1">
      <c r="A97" s="11"/>
      <c r="B97" s="255"/>
      <c r="C97" s="256"/>
      <c r="D97" s="257" t="str">
        <f t="shared" si="27"/>
        <v>Calories</v>
      </c>
      <c r="E97" s="258"/>
      <c r="F97" s="280"/>
      <c r="G97" s="259"/>
      <c r="H97" s="259"/>
      <c r="I97" s="259"/>
      <c r="J97" s="259"/>
      <c r="K97" s="259"/>
      <c r="L97" s="260" t="str">
        <f t="shared" si="6"/>
        <v/>
      </c>
      <c r="M97" s="261"/>
      <c r="N97" s="255"/>
      <c r="O97" s="255"/>
      <c r="P97" s="255"/>
      <c r="Q97" s="255"/>
      <c r="R97" s="255"/>
      <c r="S97" s="255"/>
      <c r="T97" s="231"/>
      <c r="U97" s="255"/>
      <c r="V97" s="301"/>
      <c r="W97" s="262"/>
      <c r="X97" s="262"/>
      <c r="Y97" s="263"/>
      <c r="Z97" s="173"/>
      <c r="AA97" s="173"/>
      <c r="AC97" s="173"/>
      <c r="AD97" s="173"/>
      <c r="AE97" s="173"/>
      <c r="AF97" s="173"/>
      <c r="AG97" s="173"/>
      <c r="AH97" s="173"/>
      <c r="AI97" s="173"/>
      <c r="AJ97" s="296">
        <f>AJ96+0.5</f>
        <v>31.5</v>
      </c>
      <c r="AK97" s="69"/>
      <c r="AL97" s="54">
        <f t="shared" si="10"/>
        <v>0</v>
      </c>
      <c r="AM97" s="183" t="str">
        <f>AM96</f>
        <v/>
      </c>
      <c r="AN97" s="54"/>
      <c r="AO97" s="267"/>
      <c r="AP97" s="242" t="str">
        <f t="shared" si="22"/>
        <v/>
      </c>
      <c r="AQ97" s="242" t="str">
        <f t="shared" ref="AQ97:AV97" si="141">IF(F97="",AP97,F97)</f>
        <v/>
      </c>
      <c r="AR97" s="242" t="str">
        <f t="shared" si="141"/>
        <v/>
      </c>
      <c r="AS97" s="242" t="str">
        <f t="shared" si="141"/>
        <v/>
      </c>
      <c r="AT97" s="242" t="str">
        <f t="shared" si="141"/>
        <v/>
      </c>
      <c r="AU97" s="242" t="str">
        <f t="shared" si="141"/>
        <v/>
      </c>
      <c r="AV97" s="242" t="str">
        <f t="shared" si="141"/>
        <v/>
      </c>
      <c r="AW97" s="268" t="str">
        <f t="shared" si="30"/>
        <v/>
      </c>
      <c r="AX97" s="269"/>
      <c r="AY97" s="270"/>
      <c r="AZ97" s="271"/>
      <c r="BA97" s="246"/>
      <c r="BB97" s="246"/>
      <c r="BC97" s="263"/>
      <c r="BD97" s="66"/>
      <c r="BE97" s="69"/>
      <c r="BF97" s="54"/>
      <c r="BG97" s="54"/>
      <c r="BH97" s="54"/>
      <c r="BI97" s="54"/>
      <c r="BK97" s="173"/>
      <c r="BM97" s="173"/>
      <c r="BN97" s="175"/>
      <c r="BO97" s="253"/>
      <c r="BP97" s="250" t="str">
        <f t="shared" si="36"/>
        <v/>
      </c>
      <c r="BQ97" s="253"/>
      <c r="BR97" s="250"/>
      <c r="BS97" s="250" t="str">
        <f t="shared" si="15"/>
        <v/>
      </c>
      <c r="BT97" s="250" t="str">
        <f t="shared" si="37"/>
        <v/>
      </c>
      <c r="BU97" s="253" t="str">
        <f t="shared" si="33"/>
        <v/>
      </c>
      <c r="BV97" s="254" t="b">
        <f t="shared" si="17"/>
        <v>0</v>
      </c>
      <c r="BW97" s="175" t="str">
        <f t="shared" si="38"/>
        <v/>
      </c>
      <c r="BX97" s="44" t="b">
        <f t="shared" si="19"/>
        <v>0</v>
      </c>
      <c r="BY97" s="202" t="b">
        <f t="shared" si="20"/>
        <v>0</v>
      </c>
      <c r="BZ97" s="203">
        <f t="shared" si="25"/>
        <v>0</v>
      </c>
      <c r="CA97" s="175">
        <f t="shared" si="26"/>
        <v>0</v>
      </c>
      <c r="CB97" s="175"/>
      <c r="CC97" s="173"/>
      <c r="CD97" s="173"/>
    </row>
    <row r="98" ht="15.75" customHeight="1">
      <c r="A98" s="11"/>
      <c r="B98" s="221" t="str">
        <f>IF(B96="","",B96+7)</f>
        <v/>
      </c>
      <c r="C98" s="222"/>
      <c r="D98" s="223" t="str">
        <f t="shared" si="27"/>
        <v>Weight</v>
      </c>
      <c r="E98" s="272"/>
      <c r="F98" s="273"/>
      <c r="G98" s="274"/>
      <c r="H98" s="274"/>
      <c r="I98" s="274"/>
      <c r="J98" s="274"/>
      <c r="K98" s="274"/>
      <c r="L98" s="284" t="str">
        <f t="shared" si="6"/>
        <v/>
      </c>
      <c r="M98" s="227"/>
      <c r="N98" s="302"/>
      <c r="O98" s="302"/>
      <c r="P98" s="302"/>
      <c r="Q98" s="276" t="str">
        <f>BL98</f>
        <v/>
      </c>
      <c r="R98" s="228"/>
      <c r="S98" s="230" t="str">
        <f>IFERROR(__xludf.DUMMYFUNCTION("IF(L98="""","""",(L98-index(filter($L$36:L96,$L$36:L96&lt;&gt;"""",ISEVEN(row($L$36:L96))),count(filter($L$36:L96,$L$36:L96&lt;&gt;"""",iseven(row($L$36:L96)))),1)))"),"")</f>
        <v/>
      </c>
      <c r="T98" s="231"/>
      <c r="U98" s="232" t="str">
        <f>if(BD$24=FALSE,"",IF(L98="","",BC98))</f>
        <v/>
      </c>
      <c r="V98" s="301"/>
      <c r="W98" s="234">
        <f>IF(count(S98:S99)&gt;1,1,0)</f>
        <v>0</v>
      </c>
      <c r="X98" s="235" t="str">
        <f>if(Y98="","","Week 32")</f>
        <v/>
      </c>
      <c r="Y98" s="236" t="str">
        <f>IF(S98="","",text(B98,"MMM-YY"))</f>
        <v/>
      </c>
      <c r="Z98" s="173"/>
      <c r="AA98" s="173"/>
      <c r="AC98" s="173"/>
      <c r="AD98" s="173"/>
      <c r="AE98" s="173"/>
      <c r="AF98" s="173"/>
      <c r="AG98" s="173"/>
      <c r="AH98" s="173"/>
      <c r="AI98" s="173"/>
      <c r="AJ98" s="296">
        <f>AJ96+1</f>
        <v>32</v>
      </c>
      <c r="AK98" s="277">
        <v>31.0</v>
      </c>
      <c r="AL98" s="54">
        <f t="shared" si="10"/>
        <v>0</v>
      </c>
      <c r="AM98" s="198" t="str">
        <f>IF(K98="",AM96,K98)</f>
        <v/>
      </c>
      <c r="AN98" s="54"/>
      <c r="AO98" s="241"/>
      <c r="AP98" s="242" t="str">
        <f t="shared" si="22"/>
        <v/>
      </c>
      <c r="AQ98" s="242" t="str">
        <f t="shared" ref="AQ98:AV98" si="142">IF(F98="",AP98,F98)</f>
        <v/>
      </c>
      <c r="AR98" s="242" t="str">
        <f t="shared" si="142"/>
        <v/>
      </c>
      <c r="AS98" s="242" t="str">
        <f t="shared" si="142"/>
        <v/>
      </c>
      <c r="AT98" s="242" t="str">
        <f t="shared" si="142"/>
        <v/>
      </c>
      <c r="AU98" s="242" t="str">
        <f t="shared" si="142"/>
        <v/>
      </c>
      <c r="AV98" s="242" t="str">
        <f t="shared" si="142"/>
        <v/>
      </c>
      <c r="AW98" s="278" t="str">
        <f t="shared" si="30"/>
        <v/>
      </c>
      <c r="AX98" s="244">
        <f>if(AND(AW98=AX$34,$AL98&gt;0),ROW(),0)</f>
        <v>0</v>
      </c>
      <c r="AY98" s="244">
        <f>if(AND(AW98=AY$34,$AL98&gt;0),ROW(),0)</f>
        <v>0</v>
      </c>
      <c r="AZ98" s="279" t="str">
        <f>IF(AW98="","",AW98-AW96)</f>
        <v/>
      </c>
      <c r="BA98" s="246">
        <f>if(BB98&gt;0,row(),0)</f>
        <v>98</v>
      </c>
      <c r="BB98" s="246">
        <f>max(if(E98=AW$30,COLUMN(E98),0),if(F98=AW$30,COLUMN(F98),0),if(G98=AW$30,COLUMN(G98),0),if(H98=AW$30,COLUMN(H98),0),if(I98=AW$30,COLUMN(I98),0),if(J98=AW$30,COLUMN(J98),0),if(K98=AW$30,COLUMN(K98),0))</f>
        <v>11</v>
      </c>
      <c r="BC98" s="247" t="str">
        <f>IF(BD98="","",IF(AZ98="","",BD98))</f>
        <v/>
      </c>
      <c r="BD98" s="248">
        <f>IF(AL98=0,BD96,IF(AL99=0,BD96,((AW99+(((-AZ98)*$BD$7)/AL99)+sum($BE$38:BE96))/AK98)))</f>
        <v>0</v>
      </c>
      <c r="BE98" s="249">
        <f>IF(AL98=0,BE96,IF(AL99=0,BE96,AW99+(((-AZ98)*$BD$7)/AL99)))</f>
        <v>0</v>
      </c>
      <c r="BF98" s="54"/>
      <c r="BG98" s="54"/>
      <c r="BH98" s="54"/>
      <c r="BI98" s="54"/>
      <c r="BJ98" s="173" t="str">
        <f>text(B98,"YYYY MMM")</f>
        <v/>
      </c>
      <c r="BK98" s="173"/>
      <c r="BL98" s="174" t="str">
        <f>if($G$13="Disable","", if($G$9="","",if(and($G$9="Male",count($N98:$O98)&lt;&gt;2),"",
if(and($G$9="Male",count($N98:$O98)=2),round(if($N98="","",
     if($G$14="cm",86.01*log($N98-$O98)-70.041*log($G$15)+30.3,
     if($G$14="inch",86.01*log(($N98-$O98)*2.54)-70.041*log($G$15*2.54)+30.3))),0),                                         
if(and($G$9="Female",count($N98:$P98)&lt;&gt;3),"",
if(and($G$9="Female",count($N98:$P98)=3),round(if($N98="","",
        if($G$14="cm",495/(1.29579-0.35004*log10($N98+$P98-$O98)+0.221 * log10($G$15))-450,
        if($G$14="inch",495/(1.29579-0.35004*log10(($N98+$P98-$O98)*2.54)+0.221 * log10($G$15*2.54))-450))),0)))))))</f>
        <v/>
      </c>
      <c r="BM98" s="173"/>
      <c r="BN98" s="175"/>
      <c r="BO98" s="253"/>
      <c r="BP98" s="250" t="str">
        <f t="shared" si="36"/>
        <v/>
      </c>
      <c r="BQ98" s="175"/>
      <c r="BR98" s="250"/>
      <c r="BS98" s="250" t="str">
        <f t="shared" si="15"/>
        <v/>
      </c>
      <c r="BT98" s="250" t="str">
        <f t="shared" si="37"/>
        <v/>
      </c>
      <c r="BU98" s="253" t="str">
        <f t="shared" si="33"/>
        <v/>
      </c>
      <c r="BV98" s="254" t="b">
        <f t="shared" si="17"/>
        <v>0</v>
      </c>
      <c r="BW98" s="175" t="str">
        <f t="shared" si="38"/>
        <v/>
      </c>
      <c r="BX98" s="44" t="b">
        <f t="shared" si="19"/>
        <v>0</v>
      </c>
      <c r="BY98" s="202" t="b">
        <f t="shared" si="20"/>
        <v>0</v>
      </c>
      <c r="BZ98" s="203">
        <f t="shared" si="25"/>
        <v>0</v>
      </c>
      <c r="CA98" s="175">
        <f t="shared" si="26"/>
        <v>0</v>
      </c>
      <c r="CB98" s="175"/>
      <c r="CC98" s="173"/>
      <c r="CD98" s="173"/>
    </row>
    <row r="99" ht="15.75" customHeight="1">
      <c r="A99" s="11"/>
      <c r="B99" s="255"/>
      <c r="C99" s="256"/>
      <c r="D99" s="257" t="str">
        <f t="shared" si="27"/>
        <v>Calories</v>
      </c>
      <c r="E99" s="258"/>
      <c r="F99" s="280"/>
      <c r="G99" s="259"/>
      <c r="H99" s="259"/>
      <c r="I99" s="259"/>
      <c r="J99" s="259"/>
      <c r="K99" s="259"/>
      <c r="L99" s="260" t="str">
        <f t="shared" si="6"/>
        <v/>
      </c>
      <c r="M99" s="261"/>
      <c r="N99" s="255"/>
      <c r="O99" s="255"/>
      <c r="P99" s="255"/>
      <c r="Q99" s="255"/>
      <c r="R99" s="255"/>
      <c r="S99" s="255"/>
      <c r="T99" s="231"/>
      <c r="U99" s="255"/>
      <c r="V99" s="301"/>
      <c r="W99" s="262"/>
      <c r="X99" s="262"/>
      <c r="Y99" s="263"/>
      <c r="Z99" s="173"/>
      <c r="AA99" s="173"/>
      <c r="AC99" s="173"/>
      <c r="AD99" s="173"/>
      <c r="AE99" s="173"/>
      <c r="AF99" s="173"/>
      <c r="AG99" s="173"/>
      <c r="AH99" s="173"/>
      <c r="AI99" s="173"/>
      <c r="AJ99" s="296">
        <f>AJ98+0.5</f>
        <v>32.5</v>
      </c>
      <c r="AK99" s="69"/>
      <c r="AL99" s="54">
        <f t="shared" si="10"/>
        <v>0</v>
      </c>
      <c r="AM99" s="183" t="str">
        <f>AM98</f>
        <v/>
      </c>
      <c r="AN99" s="54"/>
      <c r="AO99" s="267"/>
      <c r="AP99" s="242" t="str">
        <f t="shared" si="22"/>
        <v/>
      </c>
      <c r="AQ99" s="242" t="str">
        <f t="shared" ref="AQ99:AV99" si="143">IF(F99="",AP99,F99)</f>
        <v/>
      </c>
      <c r="AR99" s="242" t="str">
        <f t="shared" si="143"/>
        <v/>
      </c>
      <c r="AS99" s="242" t="str">
        <f t="shared" si="143"/>
        <v/>
      </c>
      <c r="AT99" s="242" t="str">
        <f t="shared" si="143"/>
        <v/>
      </c>
      <c r="AU99" s="242" t="str">
        <f t="shared" si="143"/>
        <v/>
      </c>
      <c r="AV99" s="242" t="str">
        <f t="shared" si="143"/>
        <v/>
      </c>
      <c r="AW99" s="268" t="str">
        <f t="shared" si="30"/>
        <v/>
      </c>
      <c r="AX99" s="269"/>
      <c r="AY99" s="270"/>
      <c r="AZ99" s="271"/>
      <c r="BA99" s="246"/>
      <c r="BB99" s="246"/>
      <c r="BC99" s="263"/>
      <c r="BD99" s="66"/>
      <c r="BE99" s="69"/>
      <c r="BF99" s="54"/>
      <c r="BG99" s="54"/>
      <c r="BH99" s="54"/>
      <c r="BI99" s="54"/>
      <c r="BK99" s="173"/>
      <c r="BM99" s="173"/>
      <c r="BN99" s="175"/>
      <c r="BO99" s="253"/>
      <c r="BP99" s="250" t="str">
        <f t="shared" si="36"/>
        <v/>
      </c>
      <c r="BQ99" s="175"/>
      <c r="BR99" s="250"/>
      <c r="BS99" s="250" t="str">
        <f t="shared" si="15"/>
        <v/>
      </c>
      <c r="BT99" s="250" t="str">
        <f t="shared" si="37"/>
        <v/>
      </c>
      <c r="BU99" s="253" t="str">
        <f t="shared" si="33"/>
        <v/>
      </c>
      <c r="BV99" s="254" t="b">
        <f t="shared" si="17"/>
        <v>0</v>
      </c>
      <c r="BW99" s="175" t="str">
        <f t="shared" si="38"/>
        <v/>
      </c>
      <c r="BX99" s="44" t="b">
        <f t="shared" si="19"/>
        <v>0</v>
      </c>
      <c r="BY99" s="202" t="b">
        <f t="shared" si="20"/>
        <v>0</v>
      </c>
      <c r="BZ99" s="203">
        <f t="shared" si="25"/>
        <v>0</v>
      </c>
      <c r="CA99" s="175">
        <f t="shared" si="26"/>
        <v>0</v>
      </c>
      <c r="CB99" s="175"/>
      <c r="CC99" s="173"/>
      <c r="CD99" s="173"/>
    </row>
    <row r="100" ht="15.75" customHeight="1">
      <c r="A100" s="11"/>
      <c r="B100" s="221" t="str">
        <f>IF(B98="","",B98+7)</f>
        <v/>
      </c>
      <c r="C100" s="222"/>
      <c r="D100" s="223" t="str">
        <f t="shared" si="27"/>
        <v>Weight</v>
      </c>
      <c r="E100" s="282"/>
      <c r="F100" s="274"/>
      <c r="G100" s="274"/>
      <c r="H100" s="297"/>
      <c r="I100" s="297"/>
      <c r="J100" s="297"/>
      <c r="K100" s="297"/>
      <c r="L100" s="284" t="str">
        <f t="shared" si="6"/>
        <v/>
      </c>
      <c r="M100" s="227"/>
      <c r="N100" s="302"/>
      <c r="O100" s="302"/>
      <c r="P100" s="302"/>
      <c r="Q100" s="276" t="str">
        <f>BL100</f>
        <v/>
      </c>
      <c r="R100" s="228"/>
      <c r="S100" s="230" t="str">
        <f>IFERROR(__xludf.DUMMYFUNCTION("IF(L100="""","""",(L100-index(filter($L$36:L98,$L$36:L98&lt;&gt;"""",ISEVEN(row($L$36:L98))),count(filter($L$36:L98,$L$36:L98&lt;&gt;"""",iseven(row($L$36:L98)))),1)))"),"")</f>
        <v/>
      </c>
      <c r="T100" s="231"/>
      <c r="U100" s="232" t="str">
        <f>if(BD$24=FALSE,"",IF(L100="","",BC100))</f>
        <v/>
      </c>
      <c r="V100" s="301"/>
      <c r="W100" s="234">
        <f>IF(count(S100:S101)&gt;1,1,0)</f>
        <v>0</v>
      </c>
      <c r="X100" s="235" t="str">
        <f>if(Y100="","","Week 33")</f>
        <v/>
      </c>
      <c r="Y100" s="236" t="str">
        <f>IF(S100="","",text(B100,"MMM-YY"))</f>
        <v/>
      </c>
      <c r="Z100" s="173"/>
      <c r="AA100" s="173"/>
      <c r="AC100" s="173"/>
      <c r="AD100" s="173"/>
      <c r="AE100" s="173"/>
      <c r="AF100" s="173"/>
      <c r="AG100" s="173"/>
      <c r="AH100" s="173"/>
      <c r="AI100" s="173"/>
      <c r="AJ100" s="296">
        <f>AJ98+1</f>
        <v>33</v>
      </c>
      <c r="AK100" s="277">
        <v>32.0</v>
      </c>
      <c r="AL100" s="54">
        <f t="shared" si="10"/>
        <v>0</v>
      </c>
      <c r="AM100" s="198" t="str">
        <f>IF(K100="",AM98,K100)</f>
        <v/>
      </c>
      <c r="AN100" s="54"/>
      <c r="AO100" s="241"/>
      <c r="AP100" s="242" t="str">
        <f t="shared" si="22"/>
        <v/>
      </c>
      <c r="AQ100" s="242" t="str">
        <f t="shared" ref="AQ100:AV100" si="144">IF(F100="",AP100,F100)</f>
        <v/>
      </c>
      <c r="AR100" s="242" t="str">
        <f t="shared" si="144"/>
        <v/>
      </c>
      <c r="AS100" s="242" t="str">
        <f t="shared" si="144"/>
        <v/>
      </c>
      <c r="AT100" s="242" t="str">
        <f t="shared" si="144"/>
        <v/>
      </c>
      <c r="AU100" s="242" t="str">
        <f t="shared" si="144"/>
        <v/>
      </c>
      <c r="AV100" s="242" t="str">
        <f t="shared" si="144"/>
        <v/>
      </c>
      <c r="AW100" s="278" t="str">
        <f t="shared" si="30"/>
        <v/>
      </c>
      <c r="AX100" s="244">
        <f>if(AND(AW100=AX$34,$AL100&gt;0),ROW(),0)</f>
        <v>0</v>
      </c>
      <c r="AY100" s="244">
        <f>if(AND(AW100=AY$34,$AL100&gt;0),ROW(),0)</f>
        <v>0</v>
      </c>
      <c r="AZ100" s="279" t="str">
        <f>IF(AW100="","",AW100-AW98)</f>
        <v/>
      </c>
      <c r="BA100" s="246">
        <f>if(BB100&gt;0,row(),0)</f>
        <v>100</v>
      </c>
      <c r="BB100" s="246">
        <f>max(if(E100=AW$30,COLUMN(E100),0),if(F100=AW$30,COLUMN(F100),0),if(G100=AW$30,COLUMN(G100),0),if(H100=AW$30,COLUMN(H100),0),if(I100=AW$30,COLUMN(I100),0),if(J100=AW$30,COLUMN(J100),0),if(K100=AW$30,COLUMN(K100),0))</f>
        <v>11</v>
      </c>
      <c r="BC100" s="247" t="str">
        <f>IF(BD100="","",IF(AZ100="","",BD100))</f>
        <v/>
      </c>
      <c r="BD100" s="248">
        <f>IF(AL100=0,BD98,IF(AL101=0,BD98,((AW101+(((-AZ100)*$BD$7)/AL101)+sum($BE$38:BE98))/AK100)))</f>
        <v>0</v>
      </c>
      <c r="BE100" s="249">
        <f>IF(AL100=0,BE98,IF(AL101=0,BE98,AW101+(((-AZ100)*$BD$7)/AL101)))</f>
        <v>0</v>
      </c>
      <c r="BF100" s="54"/>
      <c r="BG100" s="54"/>
      <c r="BH100" s="54"/>
      <c r="BI100" s="54"/>
      <c r="BJ100" s="173" t="str">
        <f>text(B100,"YYYY MMM")</f>
        <v/>
      </c>
      <c r="BK100" s="173"/>
      <c r="BL100" s="174" t="str">
        <f>if($G$13="Disable","", if($G$9="","",if(and($G$9="Male",count($N100:$O100)&lt;&gt;2),"",
if(and($G$9="Male",count($N100:$O100)=2),round(if($N100="","",
     if($G$14="cm",86.01*log($N100-$O100)-70.041*log($G$15)+30.3,
     if($G$14="inch",86.01*log(($N100-$O100)*2.54)-70.041*log($G$15*2.54)+30.3))),0),                                         
if(and($G$9="Female",count($N100:$P100)&lt;&gt;3),"",
if(and($G$9="Female",count($N100:$P100)=3),round(if($N100="","",
        if($G$14="cm",495/(1.29579-0.35004*log10($N100+$P100-$O100)+0.221 * log10($G$15))-450,
        if($G$14="inch",495/(1.29579-0.35004*log10(($N100+$P100-$O100)*2.54)+0.221 * log10($G$15*2.54))-450))),0)))))))</f>
        <v/>
      </c>
      <c r="BM100" s="173"/>
      <c r="BN100" s="175"/>
      <c r="BO100" s="253"/>
      <c r="BP100" s="250" t="str">
        <f t="shared" si="36"/>
        <v/>
      </c>
      <c r="BQ100" s="175"/>
      <c r="BR100" s="250"/>
      <c r="BS100" s="250" t="str">
        <f t="shared" si="15"/>
        <v/>
      </c>
      <c r="BT100" s="250" t="str">
        <f t="shared" si="37"/>
        <v/>
      </c>
      <c r="BU100" s="253" t="str">
        <f t="shared" si="33"/>
        <v/>
      </c>
      <c r="BV100" s="254" t="b">
        <f t="shared" si="17"/>
        <v>0</v>
      </c>
      <c r="BW100" s="175" t="str">
        <f t="shared" si="38"/>
        <v/>
      </c>
      <c r="BX100" s="44" t="b">
        <f t="shared" si="19"/>
        <v>0</v>
      </c>
      <c r="BY100" s="202" t="b">
        <f t="shared" si="20"/>
        <v>0</v>
      </c>
      <c r="BZ100" s="203">
        <f t="shared" si="25"/>
        <v>0</v>
      </c>
      <c r="CA100" s="175">
        <f t="shared" si="26"/>
        <v>0</v>
      </c>
      <c r="CB100" s="175"/>
      <c r="CC100" s="173"/>
      <c r="CD100" s="173"/>
    </row>
    <row r="101" ht="15.75" customHeight="1">
      <c r="A101" s="11"/>
      <c r="B101" s="255"/>
      <c r="C101" s="256"/>
      <c r="D101" s="257" t="str">
        <f t="shared" si="27"/>
        <v>Calories</v>
      </c>
      <c r="E101" s="285"/>
      <c r="F101" s="259"/>
      <c r="G101" s="298"/>
      <c r="H101" s="299"/>
      <c r="I101" s="299"/>
      <c r="J101" s="299"/>
      <c r="K101" s="299"/>
      <c r="L101" s="260" t="str">
        <f t="shared" si="6"/>
        <v/>
      </c>
      <c r="M101" s="261"/>
      <c r="N101" s="255"/>
      <c r="O101" s="255"/>
      <c r="P101" s="255"/>
      <c r="Q101" s="255"/>
      <c r="R101" s="255"/>
      <c r="S101" s="255"/>
      <c r="T101" s="231"/>
      <c r="U101" s="255"/>
      <c r="V101" s="301"/>
      <c r="W101" s="262"/>
      <c r="X101" s="262"/>
      <c r="Y101" s="263"/>
      <c r="Z101" s="173"/>
      <c r="AA101" s="173"/>
      <c r="AC101" s="173"/>
      <c r="AD101" s="173"/>
      <c r="AE101" s="173"/>
      <c r="AF101" s="173"/>
      <c r="AG101" s="173"/>
      <c r="AH101" s="173"/>
      <c r="AI101" s="173"/>
      <c r="AJ101" s="296">
        <f>AJ100+0.5</f>
        <v>33.5</v>
      </c>
      <c r="AK101" s="69"/>
      <c r="AL101" s="54">
        <f t="shared" si="10"/>
        <v>0</v>
      </c>
      <c r="AM101" s="183" t="str">
        <f>AM100</f>
        <v/>
      </c>
      <c r="AN101" s="54"/>
      <c r="AO101" s="267"/>
      <c r="AP101" s="242" t="str">
        <f t="shared" si="22"/>
        <v/>
      </c>
      <c r="AQ101" s="242" t="str">
        <f t="shared" ref="AQ101:AV101" si="145">IF(F101="",AP101,F101)</f>
        <v/>
      </c>
      <c r="AR101" s="242" t="str">
        <f t="shared" si="145"/>
        <v/>
      </c>
      <c r="AS101" s="242" t="str">
        <f t="shared" si="145"/>
        <v/>
      </c>
      <c r="AT101" s="242" t="str">
        <f t="shared" si="145"/>
        <v/>
      </c>
      <c r="AU101" s="242" t="str">
        <f t="shared" si="145"/>
        <v/>
      </c>
      <c r="AV101" s="242" t="str">
        <f t="shared" si="145"/>
        <v/>
      </c>
      <c r="AW101" s="268" t="str">
        <f t="shared" si="30"/>
        <v/>
      </c>
      <c r="AX101" s="269"/>
      <c r="AY101" s="270"/>
      <c r="AZ101" s="271"/>
      <c r="BA101" s="246"/>
      <c r="BB101" s="246"/>
      <c r="BC101" s="263"/>
      <c r="BD101" s="66"/>
      <c r="BE101" s="69"/>
      <c r="BF101" s="54"/>
      <c r="BG101" s="54"/>
      <c r="BH101" s="54"/>
      <c r="BI101" s="54"/>
      <c r="BK101" s="173"/>
      <c r="BM101" s="173"/>
      <c r="BN101" s="175"/>
      <c r="BO101" s="253"/>
      <c r="BP101" s="250" t="str">
        <f t="shared" si="36"/>
        <v/>
      </c>
      <c r="BQ101" s="175"/>
      <c r="BR101" s="250"/>
      <c r="BS101" s="250" t="str">
        <f t="shared" si="15"/>
        <v/>
      </c>
      <c r="BT101" s="250" t="str">
        <f t="shared" si="37"/>
        <v/>
      </c>
      <c r="BU101" s="253" t="str">
        <f t="shared" si="33"/>
        <v/>
      </c>
      <c r="BV101" s="254" t="b">
        <f t="shared" si="17"/>
        <v>0</v>
      </c>
      <c r="BW101" s="175" t="str">
        <f t="shared" si="38"/>
        <v/>
      </c>
      <c r="BX101" s="44" t="b">
        <f t="shared" si="19"/>
        <v>0</v>
      </c>
      <c r="BY101" s="202" t="b">
        <f t="shared" si="20"/>
        <v>0</v>
      </c>
      <c r="BZ101" s="203">
        <f t="shared" si="25"/>
        <v>0</v>
      </c>
      <c r="CA101" s="175">
        <f t="shared" si="26"/>
        <v>0</v>
      </c>
      <c r="CB101" s="175"/>
      <c r="CC101" s="173"/>
      <c r="CD101" s="173"/>
    </row>
    <row r="102" ht="15.75" customHeight="1">
      <c r="A102" s="11"/>
      <c r="B102" s="221" t="str">
        <f>IF(B100="","",B100+7)</f>
        <v/>
      </c>
      <c r="C102" s="222"/>
      <c r="D102" s="223" t="str">
        <f t="shared" si="27"/>
        <v>Weight</v>
      </c>
      <c r="E102" s="224"/>
      <c r="F102" s="300"/>
      <c r="G102" s="225"/>
      <c r="H102" s="225"/>
      <c r="I102" s="225"/>
      <c r="J102" s="225"/>
      <c r="K102" s="225"/>
      <c r="L102" s="284" t="str">
        <f t="shared" si="6"/>
        <v/>
      </c>
      <c r="M102" s="227"/>
      <c r="N102" s="302"/>
      <c r="O102" s="302"/>
      <c r="P102" s="302"/>
      <c r="Q102" s="276" t="str">
        <f>BL102</f>
        <v/>
      </c>
      <c r="R102" s="228"/>
      <c r="S102" s="230" t="str">
        <f>IFERROR(__xludf.DUMMYFUNCTION("IF(L102="""","""",(L102-index(filter($L$36:L100,$L$36:L100&lt;&gt;"""",ISEVEN(row($L$36:L100))),count(filter($L$36:L100,$L$36:L100&lt;&gt;"""",iseven(row($L$36:L100)))),1)))"),"")</f>
        <v/>
      </c>
      <c r="T102" s="231"/>
      <c r="U102" s="232" t="str">
        <f>if(BD$24=FALSE,"",IF(L102="","",BC102))</f>
        <v/>
      </c>
      <c r="V102" s="301"/>
      <c r="W102" s="234">
        <f>IF(count(S102:S103)&gt;1,1,0)</f>
        <v>0</v>
      </c>
      <c r="X102" s="235" t="str">
        <f>if(Y102="","","Week 34")</f>
        <v/>
      </c>
      <c r="Y102" s="236" t="str">
        <f>IF(S102="","",text(B102,"MMM-YY"))</f>
        <v/>
      </c>
      <c r="Z102" s="173"/>
      <c r="AA102" s="173"/>
      <c r="AC102" s="173"/>
      <c r="AD102" s="173"/>
      <c r="AE102" s="173"/>
      <c r="AF102" s="173"/>
      <c r="AG102" s="173"/>
      <c r="AH102" s="173"/>
      <c r="AI102" s="173"/>
      <c r="AJ102" s="296">
        <f>AJ100+1</f>
        <v>34</v>
      </c>
      <c r="AK102" s="277">
        <v>33.0</v>
      </c>
      <c r="AL102" s="54">
        <f t="shared" si="10"/>
        <v>0</v>
      </c>
      <c r="AM102" s="198" t="str">
        <f>IF(K102="",AM100,K102)</f>
        <v/>
      </c>
      <c r="AN102" s="54"/>
      <c r="AO102" s="241"/>
      <c r="AP102" s="242" t="str">
        <f t="shared" si="22"/>
        <v/>
      </c>
      <c r="AQ102" s="242" t="str">
        <f t="shared" ref="AQ102:AV102" si="146">IF(F102="",AP102,F102)</f>
        <v/>
      </c>
      <c r="AR102" s="242" t="str">
        <f t="shared" si="146"/>
        <v/>
      </c>
      <c r="AS102" s="242" t="str">
        <f t="shared" si="146"/>
        <v/>
      </c>
      <c r="AT102" s="242" t="str">
        <f t="shared" si="146"/>
        <v/>
      </c>
      <c r="AU102" s="242" t="str">
        <f t="shared" si="146"/>
        <v/>
      </c>
      <c r="AV102" s="242" t="str">
        <f t="shared" si="146"/>
        <v/>
      </c>
      <c r="AW102" s="278" t="str">
        <f t="shared" si="30"/>
        <v/>
      </c>
      <c r="AX102" s="244">
        <f>if(AND(AW102=AX$34,$AL102&gt;0),ROW(),0)</f>
        <v>0</v>
      </c>
      <c r="AY102" s="244">
        <f>if(AND(AW102=AY$34,$AL102&gt;0),ROW(),0)</f>
        <v>0</v>
      </c>
      <c r="AZ102" s="279" t="str">
        <f>IF(AW102="","",AW102-AW100)</f>
        <v/>
      </c>
      <c r="BA102" s="246">
        <f>if(BB102&gt;0,row(),0)</f>
        <v>102</v>
      </c>
      <c r="BB102" s="246">
        <f>max(if(E102=AW$30,COLUMN(E102),0),if(F102=AW$30,COLUMN(F102),0),if(G102=AW$30,COLUMN(G102),0),if(H102=AW$30,COLUMN(H102),0),if(I102=AW$30,COLUMN(I102),0),if(J102=AW$30,COLUMN(J102),0),if(K102=AW$30,COLUMN(K102),0))</f>
        <v>11</v>
      </c>
      <c r="BC102" s="247" t="str">
        <f>IF(BD102="","",IF(AZ102="","",BD102))</f>
        <v/>
      </c>
      <c r="BD102" s="248">
        <f>IF(AL102=0,BD100,IF(AL103=0,BD100,((AW103+(((-AZ102)*$BD$7)/AL103)+sum($BE$38:BE100))/AK102)))</f>
        <v>0</v>
      </c>
      <c r="BE102" s="249">
        <f>IF(AL102=0,BE100,IF(AL103=0,BE100,AW103+(((-AZ102)*$BD$7)/AL103)))</f>
        <v>0</v>
      </c>
      <c r="BF102" s="54"/>
      <c r="BG102" s="54"/>
      <c r="BH102" s="54"/>
      <c r="BI102" s="54"/>
      <c r="BJ102" s="173" t="str">
        <f>text(B102,"YYYY MMM")</f>
        <v/>
      </c>
      <c r="BK102" s="173"/>
      <c r="BL102" s="174" t="str">
        <f>if($G$13="Disable","", if($G$9="","",if(and($G$9="Male",count($N102:$O102)&lt;&gt;2),"",
if(and($G$9="Male",count($N102:$O102)=2),round(if($N102="","",
     if($G$14="cm",86.01*log($N102-$O102)-70.041*log($G$15)+30.3,
     if($G$14="inch",86.01*log(($N102-$O102)*2.54)-70.041*log($G$15*2.54)+30.3))),0),                                         
if(and($G$9="Female",count($N102:$P102)&lt;&gt;3),"",
if(and($G$9="Female",count($N102:$P102)=3),round(if($N102="","",
        if($G$14="cm",495/(1.29579-0.35004*log10($N102+$P102-$O102)+0.221 * log10($G$15))-450,
        if($G$14="inch",495/(1.29579-0.35004*log10(($N102+$P102-$O102)*2.54)+0.221 * log10($G$15*2.54))-450))),0)))))))</f>
        <v/>
      </c>
      <c r="BM102" s="173"/>
      <c r="BN102" s="175"/>
      <c r="BO102" s="253"/>
      <c r="BP102" s="250" t="str">
        <f t="shared" si="36"/>
        <v/>
      </c>
      <c r="BQ102" s="175"/>
      <c r="BR102" s="250"/>
      <c r="BS102" s="250" t="str">
        <f t="shared" si="15"/>
        <v/>
      </c>
      <c r="BT102" s="250" t="str">
        <f t="shared" si="37"/>
        <v/>
      </c>
      <c r="BU102" s="253" t="str">
        <f t="shared" si="33"/>
        <v/>
      </c>
      <c r="BV102" s="254" t="b">
        <f t="shared" si="17"/>
        <v>0</v>
      </c>
      <c r="BW102" s="175" t="str">
        <f t="shared" si="38"/>
        <v/>
      </c>
      <c r="BX102" s="44" t="b">
        <f t="shared" si="19"/>
        <v>0</v>
      </c>
      <c r="BY102" s="202" t="b">
        <f t="shared" si="20"/>
        <v>0</v>
      </c>
      <c r="BZ102" s="203">
        <f t="shared" si="25"/>
        <v>0</v>
      </c>
      <c r="CA102" s="175">
        <f t="shared" si="26"/>
        <v>0</v>
      </c>
      <c r="CB102" s="175"/>
      <c r="CC102" s="173"/>
      <c r="CD102" s="173"/>
    </row>
    <row r="103" ht="15.75" customHeight="1">
      <c r="A103" s="11"/>
      <c r="B103" s="255"/>
      <c r="C103" s="256"/>
      <c r="D103" s="257" t="str">
        <f t="shared" si="27"/>
        <v>Calories</v>
      </c>
      <c r="E103" s="258"/>
      <c r="F103" s="280"/>
      <c r="G103" s="259"/>
      <c r="H103" s="259"/>
      <c r="I103" s="259"/>
      <c r="J103" s="259"/>
      <c r="K103" s="259"/>
      <c r="L103" s="260" t="str">
        <f t="shared" si="6"/>
        <v/>
      </c>
      <c r="M103" s="261"/>
      <c r="N103" s="255"/>
      <c r="O103" s="255"/>
      <c r="P103" s="255"/>
      <c r="Q103" s="255"/>
      <c r="R103" s="255"/>
      <c r="S103" s="255"/>
      <c r="T103" s="231"/>
      <c r="U103" s="255"/>
      <c r="V103" s="301"/>
      <c r="W103" s="262"/>
      <c r="X103" s="262"/>
      <c r="Y103" s="263"/>
      <c r="Z103" s="173"/>
      <c r="AA103" s="173"/>
      <c r="AC103" s="173"/>
      <c r="AD103" s="173"/>
      <c r="AE103" s="173"/>
      <c r="AF103" s="173"/>
      <c r="AG103" s="173"/>
      <c r="AH103" s="173"/>
      <c r="AI103" s="173"/>
      <c r="AJ103" s="296">
        <f>AJ102+0.5</f>
        <v>34.5</v>
      </c>
      <c r="AK103" s="69"/>
      <c r="AL103" s="54">
        <f t="shared" si="10"/>
        <v>0</v>
      </c>
      <c r="AM103" s="183" t="str">
        <f>AM102</f>
        <v/>
      </c>
      <c r="AN103" s="54"/>
      <c r="AO103" s="267"/>
      <c r="AP103" s="242" t="str">
        <f t="shared" si="22"/>
        <v/>
      </c>
      <c r="AQ103" s="242" t="str">
        <f t="shared" ref="AQ103:AV103" si="147">IF(F103="",AP103,F103)</f>
        <v/>
      </c>
      <c r="AR103" s="242" t="str">
        <f t="shared" si="147"/>
        <v/>
      </c>
      <c r="AS103" s="242" t="str">
        <f t="shared" si="147"/>
        <v/>
      </c>
      <c r="AT103" s="242" t="str">
        <f t="shared" si="147"/>
        <v/>
      </c>
      <c r="AU103" s="242" t="str">
        <f t="shared" si="147"/>
        <v/>
      </c>
      <c r="AV103" s="242" t="str">
        <f t="shared" si="147"/>
        <v/>
      </c>
      <c r="AW103" s="268" t="str">
        <f t="shared" si="30"/>
        <v/>
      </c>
      <c r="AX103" s="269"/>
      <c r="AY103" s="270"/>
      <c r="AZ103" s="271"/>
      <c r="BA103" s="246"/>
      <c r="BB103" s="246"/>
      <c r="BC103" s="263"/>
      <c r="BD103" s="66"/>
      <c r="BE103" s="69"/>
      <c r="BF103" s="54"/>
      <c r="BG103" s="54"/>
      <c r="BH103" s="54"/>
      <c r="BI103" s="54"/>
      <c r="BK103" s="173"/>
      <c r="BM103" s="173"/>
      <c r="BN103" s="175"/>
      <c r="BO103" s="253"/>
      <c r="BP103" s="250" t="str">
        <f t="shared" si="36"/>
        <v/>
      </c>
      <c r="BQ103" s="175"/>
      <c r="BR103" s="250"/>
      <c r="BS103" s="250" t="str">
        <f t="shared" si="15"/>
        <v/>
      </c>
      <c r="BT103" s="250" t="str">
        <f t="shared" si="37"/>
        <v/>
      </c>
      <c r="BU103" s="253" t="str">
        <f t="shared" si="33"/>
        <v/>
      </c>
      <c r="BV103" s="254" t="b">
        <f t="shared" si="17"/>
        <v>0</v>
      </c>
      <c r="BW103" s="175" t="str">
        <f t="shared" si="38"/>
        <v/>
      </c>
      <c r="BX103" s="44" t="b">
        <f t="shared" si="19"/>
        <v>0</v>
      </c>
      <c r="BY103" s="202" t="b">
        <f t="shared" si="20"/>
        <v>0</v>
      </c>
      <c r="BZ103" s="203">
        <f t="shared" si="25"/>
        <v>0</v>
      </c>
      <c r="CA103" s="175">
        <f t="shared" si="26"/>
        <v>0</v>
      </c>
      <c r="CB103" s="175"/>
      <c r="CC103" s="173"/>
      <c r="CD103" s="173"/>
    </row>
    <row r="104" ht="15.75" customHeight="1">
      <c r="A104" s="11"/>
      <c r="B104" s="221" t="str">
        <f>IF(B102="","",B102+7)</f>
        <v/>
      </c>
      <c r="C104" s="222"/>
      <c r="D104" s="223" t="str">
        <f t="shared" si="27"/>
        <v>Weight</v>
      </c>
      <c r="E104" s="303"/>
      <c r="F104" s="289"/>
      <c r="G104" s="288"/>
      <c r="H104" s="288"/>
      <c r="I104" s="288"/>
      <c r="J104" s="274"/>
      <c r="K104" s="274"/>
      <c r="L104" s="284" t="str">
        <f t="shared" si="6"/>
        <v/>
      </c>
      <c r="M104" s="227"/>
      <c r="N104" s="302"/>
      <c r="O104" s="302"/>
      <c r="P104" s="302"/>
      <c r="Q104" s="276" t="str">
        <f>BL104</f>
        <v/>
      </c>
      <c r="R104" s="228"/>
      <c r="S104" s="230" t="str">
        <f>IFERROR(__xludf.DUMMYFUNCTION("IF(L104="""","""",(L104-index(filter($L$36:L102,$L$36:L102&lt;&gt;"""",ISEVEN(row($L$36:L102))),count(filter($L$36:L102,$L$36:L102&lt;&gt;"""",iseven(row($L$36:L102)))),1)))"),"")</f>
        <v/>
      </c>
      <c r="T104" s="231"/>
      <c r="U104" s="232" t="str">
        <f>if(BD$24=FALSE,"",IF(L104="","",BC104))</f>
        <v/>
      </c>
      <c r="V104" s="301"/>
      <c r="W104" s="234">
        <f>IF(count(S104:S105)&gt;1,1,0)</f>
        <v>0</v>
      </c>
      <c r="X104" s="235" t="str">
        <f>if(Y104="","","Week 35")</f>
        <v/>
      </c>
      <c r="Y104" s="236" t="str">
        <f>IF(S104="","",text(B104,"MMM-YY"))</f>
        <v/>
      </c>
      <c r="Z104" s="173"/>
      <c r="AA104" s="173"/>
      <c r="AC104" s="173"/>
      <c r="AD104" s="173"/>
      <c r="AE104" s="173"/>
      <c r="AF104" s="173"/>
      <c r="AG104" s="173"/>
      <c r="AH104" s="173"/>
      <c r="AI104" s="173"/>
      <c r="AJ104" s="296">
        <f>AJ102+1</f>
        <v>35</v>
      </c>
      <c r="AK104" s="277">
        <v>34.0</v>
      </c>
      <c r="AL104" s="54">
        <f t="shared" si="10"/>
        <v>0</v>
      </c>
      <c r="AM104" s="198" t="str">
        <f>IF(K104="",AM102,K104)</f>
        <v/>
      </c>
      <c r="AN104" s="54"/>
      <c r="AO104" s="241"/>
      <c r="AP104" s="242" t="str">
        <f t="shared" si="22"/>
        <v/>
      </c>
      <c r="AQ104" s="242" t="str">
        <f t="shared" ref="AQ104:AV104" si="148">IF(F104="",AP104,F104)</f>
        <v/>
      </c>
      <c r="AR104" s="242" t="str">
        <f t="shared" si="148"/>
        <v/>
      </c>
      <c r="AS104" s="242" t="str">
        <f t="shared" si="148"/>
        <v/>
      </c>
      <c r="AT104" s="242" t="str">
        <f t="shared" si="148"/>
        <v/>
      </c>
      <c r="AU104" s="242" t="str">
        <f t="shared" si="148"/>
        <v/>
      </c>
      <c r="AV104" s="242" t="str">
        <f t="shared" si="148"/>
        <v/>
      </c>
      <c r="AW104" s="278" t="str">
        <f t="shared" si="30"/>
        <v/>
      </c>
      <c r="AX104" s="244">
        <f>if(AND(AW104=AX$34,$AL104&gt;0),ROW(),0)</f>
        <v>0</v>
      </c>
      <c r="AY104" s="244">
        <f>if(AND(AW104=AY$34,$AL104&gt;0),ROW(),0)</f>
        <v>0</v>
      </c>
      <c r="AZ104" s="279" t="str">
        <f>IF(AW104="","",AW104-AW102)</f>
        <v/>
      </c>
      <c r="BA104" s="246">
        <f>if(BB104&gt;0,row(),0)</f>
        <v>104</v>
      </c>
      <c r="BB104" s="246">
        <f>max(if(E104=AW$30,COLUMN(E104),0),if(F104=AW$30,COLUMN(F104),0),if(G104=AW$30,COLUMN(G104),0),if(H104=AW$30,COLUMN(H104),0),if(I104=AW$30,COLUMN(I104),0),if(J104=AW$30,COLUMN(J104),0),if(K104=AW$30,COLUMN(K104),0))</f>
        <v>11</v>
      </c>
      <c r="BC104" s="247" t="str">
        <f>IF(BD104="","",IF(AZ104="","",BD104))</f>
        <v/>
      </c>
      <c r="BD104" s="248">
        <f>IF(AL104=0,BD102,IF(AL105=0,BD102,((AW105+(((-AZ104)*$BD$7)/AL105)+sum($BE$38:BE102))/AK104)))</f>
        <v>0</v>
      </c>
      <c r="BE104" s="249">
        <f>IF(AL104=0,BE102,IF(AL105=0,BE102,AW105+(((-AZ104)*$BD$7)/AL105)))</f>
        <v>0</v>
      </c>
      <c r="BF104" s="54"/>
      <c r="BG104" s="54"/>
      <c r="BH104" s="54"/>
      <c r="BI104" s="54"/>
      <c r="BJ104" s="173" t="str">
        <f>text(B104,"YYYY MMM")</f>
        <v/>
      </c>
      <c r="BK104" s="173"/>
      <c r="BL104" s="174" t="str">
        <f>if($G$13="Disable","", if($G$9="","",if(and($G$9="Male",count($N104:$O104)&lt;&gt;2),"",
if(and($G$9="Male",count($N104:$O104)=2),round(if($N104="","",
     if($G$14="cm",86.01*log($N104-$O104)-70.041*log($G$15)+30.3,
     if($G$14="inch",86.01*log(($N104-$O104)*2.54)-70.041*log($G$15*2.54)+30.3))),0),                                         
if(and($G$9="Female",count($N104:$P104)&lt;&gt;3),"",
if(and($G$9="Female",count($N104:$P104)=3),round(if($N104="","",
        if($G$14="cm",495/(1.29579-0.35004*log10($N104+$P104-$O104)+0.221 * log10($G$15))-450,
        if($G$14="inch",495/(1.29579-0.35004*log10(($N104+$P104-$O104)*2.54)+0.221 * log10($G$15*2.54))-450))),0)))))))</f>
        <v/>
      </c>
      <c r="BM104" s="173"/>
      <c r="BN104" s="175"/>
      <c r="BO104" s="253"/>
      <c r="BP104" s="250" t="str">
        <f t="shared" si="36"/>
        <v/>
      </c>
      <c r="BQ104" s="175"/>
      <c r="BR104" s="250"/>
      <c r="BS104" s="250" t="str">
        <f t="shared" si="15"/>
        <v/>
      </c>
      <c r="BT104" s="250" t="str">
        <f t="shared" si="37"/>
        <v/>
      </c>
      <c r="BU104" s="253" t="str">
        <f t="shared" si="33"/>
        <v/>
      </c>
      <c r="BV104" s="254" t="b">
        <f t="shared" si="17"/>
        <v>0</v>
      </c>
      <c r="BW104" s="175" t="str">
        <f t="shared" si="38"/>
        <v/>
      </c>
      <c r="BX104" s="44" t="b">
        <f t="shared" si="19"/>
        <v>0</v>
      </c>
      <c r="BY104" s="202" t="b">
        <f t="shared" si="20"/>
        <v>0</v>
      </c>
      <c r="BZ104" s="203">
        <f t="shared" si="25"/>
        <v>0</v>
      </c>
      <c r="CA104" s="175">
        <f t="shared" si="26"/>
        <v>0</v>
      </c>
      <c r="CB104" s="175"/>
      <c r="CC104" s="173"/>
      <c r="CD104" s="173"/>
    </row>
    <row r="105" ht="15.75" customHeight="1">
      <c r="A105" s="11"/>
      <c r="B105" s="255"/>
      <c r="C105" s="256"/>
      <c r="D105" s="257" t="str">
        <f t="shared" si="27"/>
        <v>Calories</v>
      </c>
      <c r="E105" s="304"/>
      <c r="F105" s="292"/>
      <c r="G105" s="291"/>
      <c r="H105" s="291"/>
      <c r="I105" s="291"/>
      <c r="J105" s="259"/>
      <c r="K105" s="259"/>
      <c r="L105" s="260" t="str">
        <f t="shared" si="6"/>
        <v/>
      </c>
      <c r="M105" s="261"/>
      <c r="N105" s="255"/>
      <c r="O105" s="255"/>
      <c r="P105" s="255"/>
      <c r="Q105" s="255"/>
      <c r="R105" s="255"/>
      <c r="S105" s="255"/>
      <c r="T105" s="231"/>
      <c r="U105" s="255"/>
      <c r="V105" s="301"/>
      <c r="W105" s="262"/>
      <c r="X105" s="262"/>
      <c r="Y105" s="263"/>
      <c r="Z105" s="173"/>
      <c r="AA105" s="173"/>
      <c r="AC105" s="173"/>
      <c r="AD105" s="173"/>
      <c r="AE105" s="173"/>
      <c r="AF105" s="173"/>
      <c r="AG105" s="173"/>
      <c r="AH105" s="173"/>
      <c r="AI105" s="173"/>
      <c r="AJ105" s="296">
        <f>AJ104+0.5</f>
        <v>35.5</v>
      </c>
      <c r="AK105" s="69"/>
      <c r="AL105" s="54">
        <f t="shared" si="10"/>
        <v>0</v>
      </c>
      <c r="AM105" s="183" t="str">
        <f>AM104</f>
        <v/>
      </c>
      <c r="AN105" s="54"/>
      <c r="AO105" s="267"/>
      <c r="AP105" s="242" t="str">
        <f t="shared" si="22"/>
        <v/>
      </c>
      <c r="AQ105" s="242" t="str">
        <f t="shared" ref="AQ105:AV105" si="149">IF(F105="",AP105,F105)</f>
        <v/>
      </c>
      <c r="AR105" s="242" t="str">
        <f t="shared" si="149"/>
        <v/>
      </c>
      <c r="AS105" s="242" t="str">
        <f t="shared" si="149"/>
        <v/>
      </c>
      <c r="AT105" s="242" t="str">
        <f t="shared" si="149"/>
        <v/>
      </c>
      <c r="AU105" s="242" t="str">
        <f t="shared" si="149"/>
        <v/>
      </c>
      <c r="AV105" s="242" t="str">
        <f t="shared" si="149"/>
        <v/>
      </c>
      <c r="AW105" s="268" t="str">
        <f t="shared" si="30"/>
        <v/>
      </c>
      <c r="AX105" s="269"/>
      <c r="AY105" s="270"/>
      <c r="AZ105" s="271"/>
      <c r="BA105" s="246"/>
      <c r="BB105" s="246"/>
      <c r="BC105" s="263"/>
      <c r="BD105" s="66"/>
      <c r="BE105" s="69"/>
      <c r="BF105" s="54"/>
      <c r="BG105" s="54"/>
      <c r="BH105" s="54"/>
      <c r="BI105" s="54"/>
      <c r="BK105" s="173"/>
      <c r="BM105" s="173"/>
      <c r="BN105" s="175"/>
      <c r="BO105" s="253"/>
      <c r="BP105" s="250" t="str">
        <f t="shared" si="36"/>
        <v/>
      </c>
      <c r="BQ105" s="175"/>
      <c r="BR105" s="250"/>
      <c r="BS105" s="250" t="str">
        <f t="shared" si="15"/>
        <v/>
      </c>
      <c r="BT105" s="250" t="str">
        <f t="shared" si="37"/>
        <v/>
      </c>
      <c r="BU105" s="253" t="str">
        <f t="shared" si="33"/>
        <v/>
      </c>
      <c r="BV105" s="254" t="b">
        <f t="shared" si="17"/>
        <v>0</v>
      </c>
      <c r="BW105" s="175" t="str">
        <f t="shared" si="38"/>
        <v/>
      </c>
      <c r="BX105" s="44" t="b">
        <f t="shared" si="19"/>
        <v>0</v>
      </c>
      <c r="BY105" s="202" t="b">
        <f t="shared" si="20"/>
        <v>0</v>
      </c>
      <c r="BZ105" s="203">
        <f t="shared" si="25"/>
        <v>0</v>
      </c>
      <c r="CA105" s="175">
        <f t="shared" si="26"/>
        <v>0</v>
      </c>
      <c r="CB105" s="175"/>
      <c r="CC105" s="173"/>
      <c r="CD105" s="173"/>
    </row>
    <row r="106" ht="15.75" customHeight="1">
      <c r="A106" s="11"/>
      <c r="B106" s="221" t="str">
        <f>IF(B104="","",B104+7)</f>
        <v/>
      </c>
      <c r="C106" s="222"/>
      <c r="D106" s="223" t="str">
        <f t="shared" si="27"/>
        <v>Weight</v>
      </c>
      <c r="E106" s="272"/>
      <c r="F106" s="273"/>
      <c r="G106" s="274"/>
      <c r="H106" s="274"/>
      <c r="I106" s="274"/>
      <c r="J106" s="274"/>
      <c r="K106" s="274"/>
      <c r="L106" s="284" t="str">
        <f t="shared" si="6"/>
        <v/>
      </c>
      <c r="M106" s="227"/>
      <c r="N106" s="302"/>
      <c r="O106" s="302"/>
      <c r="P106" s="302"/>
      <c r="Q106" s="276" t="str">
        <f>BL106</f>
        <v/>
      </c>
      <c r="R106" s="228"/>
      <c r="S106" s="230" t="str">
        <f>IFERROR(__xludf.DUMMYFUNCTION("IF(L106="""","""",(L106-index(filter($L$36:L104,$L$36:L104&lt;&gt;"""",ISEVEN(row($L$36:L104))),count(filter($L$36:L104,$L$36:L104&lt;&gt;"""",iseven(row($L$36:L104)))),1)))"),"")</f>
        <v/>
      </c>
      <c r="T106" s="231"/>
      <c r="U106" s="232" t="str">
        <f>if(BD$24=FALSE,"",IF(L106="","",BC106))</f>
        <v/>
      </c>
      <c r="V106" s="301"/>
      <c r="W106" s="234">
        <f>IF(count(S106:S107)&gt;1,1,0)</f>
        <v>0</v>
      </c>
      <c r="X106" s="235" t="str">
        <f>if(Y106="","","Week 36")</f>
        <v/>
      </c>
      <c r="Y106" s="236" t="str">
        <f>IF(S106="","",text(B106,"MMM-YY"))</f>
        <v/>
      </c>
      <c r="Z106" s="173"/>
      <c r="AA106" s="173"/>
      <c r="AC106" s="173"/>
      <c r="AD106" s="173"/>
      <c r="AE106" s="173"/>
      <c r="AF106" s="173"/>
      <c r="AG106" s="173"/>
      <c r="AH106" s="173"/>
      <c r="AI106" s="173"/>
      <c r="AJ106" s="296">
        <f>AJ104+1</f>
        <v>36</v>
      </c>
      <c r="AK106" s="277">
        <v>35.0</v>
      </c>
      <c r="AL106" s="54">
        <f t="shared" si="10"/>
        <v>0</v>
      </c>
      <c r="AM106" s="198" t="str">
        <f>IF(K106="",AM104,K106)</f>
        <v/>
      </c>
      <c r="AN106" s="54"/>
      <c r="AO106" s="241"/>
      <c r="AP106" s="242" t="str">
        <f t="shared" si="22"/>
        <v/>
      </c>
      <c r="AQ106" s="242" t="str">
        <f t="shared" ref="AQ106:AV106" si="150">IF(F106="",AP106,F106)</f>
        <v/>
      </c>
      <c r="AR106" s="242" t="str">
        <f t="shared" si="150"/>
        <v/>
      </c>
      <c r="AS106" s="242" t="str">
        <f t="shared" si="150"/>
        <v/>
      </c>
      <c r="AT106" s="242" t="str">
        <f t="shared" si="150"/>
        <v/>
      </c>
      <c r="AU106" s="242" t="str">
        <f t="shared" si="150"/>
        <v/>
      </c>
      <c r="AV106" s="242" t="str">
        <f t="shared" si="150"/>
        <v/>
      </c>
      <c r="AW106" s="278" t="str">
        <f t="shared" si="30"/>
        <v/>
      </c>
      <c r="AX106" s="244">
        <f>if(AND(AW106=AX$34,$AL106&gt;0),ROW(),0)</f>
        <v>0</v>
      </c>
      <c r="AY106" s="244">
        <f>if(AND(AW106=AY$34,$AL106&gt;0),ROW(),0)</f>
        <v>0</v>
      </c>
      <c r="AZ106" s="279" t="str">
        <f>IF(AW106="","",AW106-AW104)</f>
        <v/>
      </c>
      <c r="BA106" s="246">
        <f>if(BB106&gt;0,row(),0)</f>
        <v>106</v>
      </c>
      <c r="BB106" s="246">
        <f>max(if(E106=AW$30,COLUMN(E106),0),if(F106=AW$30,COLUMN(F106),0),if(G106=AW$30,COLUMN(G106),0),if(H106=AW$30,COLUMN(H106),0),if(I106=AW$30,COLUMN(I106),0),if(J106=AW$30,COLUMN(J106),0),if(K106=AW$30,COLUMN(K106),0))</f>
        <v>11</v>
      </c>
      <c r="BC106" s="247" t="str">
        <f>IF(BD106="","",IF(AZ106="","",BD106))</f>
        <v/>
      </c>
      <c r="BD106" s="248">
        <f>IF(AL106=0,BD104,IF(AL107=0,BD104,((AW107+(((-AZ106)*$BD$7)/AL107)+sum($BE$38:BE104))/AK106)))</f>
        <v>0</v>
      </c>
      <c r="BE106" s="249">
        <f>IF(AL106=0,BE104,IF(AL107=0,BE104,AW107+(((-AZ106)*$BD$7)/AL107)))</f>
        <v>0</v>
      </c>
      <c r="BF106" s="54"/>
      <c r="BG106" s="54"/>
      <c r="BH106" s="54"/>
      <c r="BI106" s="54"/>
      <c r="BJ106" s="173" t="str">
        <f>text(B106,"YYYY MMM")</f>
        <v/>
      </c>
      <c r="BK106" s="173"/>
      <c r="BL106" s="174" t="str">
        <f>if($G$13="Disable","", if($G$9="","",if(and($G$9="Male",count($N106:$O106)&lt;&gt;2),"",
if(and($G$9="Male",count($N106:$O106)=2),round(if($N106="","",
     if($G$14="cm",86.01*log($N106-$O106)-70.041*log($G$15)+30.3,
     if($G$14="inch",86.01*log(($N106-$O106)*2.54)-70.041*log($G$15*2.54)+30.3))),0),                                         
if(and($G$9="Female",count($N106:$P106)&lt;&gt;3),"",
if(and($G$9="Female",count($N106:$P106)=3),round(if($N106="","",
        if($G$14="cm",495/(1.29579-0.35004*log10($N106+$P106-$O106)+0.221 * log10($G$15))-450,
        if($G$14="inch",495/(1.29579-0.35004*log10(($N106+$P106-$O106)*2.54)+0.221 * log10($G$15*2.54))-450))),0)))))))</f>
        <v/>
      </c>
      <c r="BM106" s="173"/>
      <c r="BN106" s="175"/>
      <c r="BO106" s="253"/>
      <c r="BP106" s="250" t="str">
        <f t="shared" si="36"/>
        <v/>
      </c>
      <c r="BQ106" s="175"/>
      <c r="BR106" s="250"/>
      <c r="BS106" s="250" t="str">
        <f t="shared" si="15"/>
        <v/>
      </c>
      <c r="BT106" s="250" t="str">
        <f t="shared" si="37"/>
        <v/>
      </c>
      <c r="BU106" s="253" t="str">
        <f t="shared" si="33"/>
        <v/>
      </c>
      <c r="BV106" s="254" t="b">
        <f t="shared" si="17"/>
        <v>0</v>
      </c>
      <c r="BW106" s="175" t="str">
        <f t="shared" si="38"/>
        <v/>
      </c>
      <c r="BX106" s="44" t="b">
        <f t="shared" si="19"/>
        <v>0</v>
      </c>
      <c r="BY106" s="202" t="b">
        <f t="shared" si="20"/>
        <v>0</v>
      </c>
      <c r="BZ106" s="203">
        <f t="shared" si="25"/>
        <v>0</v>
      </c>
      <c r="CA106" s="175">
        <f t="shared" si="26"/>
        <v>0</v>
      </c>
      <c r="CB106" s="175"/>
      <c r="CC106" s="173"/>
      <c r="CD106" s="173"/>
    </row>
    <row r="107" ht="15.75" customHeight="1">
      <c r="A107" s="11"/>
      <c r="B107" s="255"/>
      <c r="C107" s="256"/>
      <c r="D107" s="257" t="str">
        <f t="shared" si="27"/>
        <v>Calories</v>
      </c>
      <c r="E107" s="258"/>
      <c r="F107" s="280"/>
      <c r="G107" s="259"/>
      <c r="H107" s="259"/>
      <c r="I107" s="259"/>
      <c r="J107" s="259"/>
      <c r="K107" s="259"/>
      <c r="L107" s="260" t="str">
        <f t="shared" si="6"/>
        <v/>
      </c>
      <c r="M107" s="261"/>
      <c r="N107" s="255"/>
      <c r="O107" s="255"/>
      <c r="P107" s="255"/>
      <c r="Q107" s="255"/>
      <c r="R107" s="255"/>
      <c r="S107" s="255"/>
      <c r="T107" s="231"/>
      <c r="U107" s="255"/>
      <c r="V107" s="301"/>
      <c r="W107" s="262"/>
      <c r="X107" s="262"/>
      <c r="Y107" s="263"/>
      <c r="Z107" s="173"/>
      <c r="AA107" s="173"/>
      <c r="AC107" s="173"/>
      <c r="AD107" s="173"/>
      <c r="AE107" s="173"/>
      <c r="AF107" s="173"/>
      <c r="AG107" s="173"/>
      <c r="AH107" s="173"/>
      <c r="AI107" s="173"/>
      <c r="AJ107" s="296">
        <f>AJ106+0.5</f>
        <v>36.5</v>
      </c>
      <c r="AK107" s="69"/>
      <c r="AL107" s="54">
        <f t="shared" si="10"/>
        <v>0</v>
      </c>
      <c r="AM107" s="183" t="str">
        <f>AM106</f>
        <v/>
      </c>
      <c r="AN107" s="54"/>
      <c r="AO107" s="267"/>
      <c r="AP107" s="242" t="str">
        <f t="shared" si="22"/>
        <v/>
      </c>
      <c r="AQ107" s="242" t="str">
        <f t="shared" ref="AQ107:AV107" si="151">IF(F107="",AP107,F107)</f>
        <v/>
      </c>
      <c r="AR107" s="242" t="str">
        <f t="shared" si="151"/>
        <v/>
      </c>
      <c r="AS107" s="242" t="str">
        <f t="shared" si="151"/>
        <v/>
      </c>
      <c r="AT107" s="242" t="str">
        <f t="shared" si="151"/>
        <v/>
      </c>
      <c r="AU107" s="242" t="str">
        <f t="shared" si="151"/>
        <v/>
      </c>
      <c r="AV107" s="242" t="str">
        <f t="shared" si="151"/>
        <v/>
      </c>
      <c r="AW107" s="268" t="str">
        <f t="shared" si="30"/>
        <v/>
      </c>
      <c r="AX107" s="269"/>
      <c r="AY107" s="270"/>
      <c r="AZ107" s="271"/>
      <c r="BA107" s="246"/>
      <c r="BB107" s="246"/>
      <c r="BC107" s="263"/>
      <c r="BD107" s="66"/>
      <c r="BE107" s="69"/>
      <c r="BF107" s="54"/>
      <c r="BG107" s="54"/>
      <c r="BH107" s="54"/>
      <c r="BI107" s="54"/>
      <c r="BK107" s="173"/>
      <c r="BM107" s="173"/>
      <c r="BN107" s="175"/>
      <c r="BO107" s="253"/>
      <c r="BP107" s="250" t="str">
        <f t="shared" si="36"/>
        <v/>
      </c>
      <c r="BQ107" s="175"/>
      <c r="BR107" s="250"/>
      <c r="BS107" s="250" t="str">
        <f t="shared" si="15"/>
        <v/>
      </c>
      <c r="BT107" s="250" t="str">
        <f t="shared" si="37"/>
        <v/>
      </c>
      <c r="BU107" s="253" t="str">
        <f t="shared" si="33"/>
        <v/>
      </c>
      <c r="BV107" s="254" t="b">
        <f t="shared" si="17"/>
        <v>0</v>
      </c>
      <c r="BW107" s="175" t="str">
        <f t="shared" si="38"/>
        <v/>
      </c>
      <c r="BX107" s="44" t="b">
        <f t="shared" si="19"/>
        <v>0</v>
      </c>
      <c r="BY107" s="202" t="b">
        <f t="shared" si="20"/>
        <v>0</v>
      </c>
      <c r="BZ107" s="203">
        <f t="shared" si="25"/>
        <v>0</v>
      </c>
      <c r="CA107" s="175">
        <f t="shared" si="26"/>
        <v>0</v>
      </c>
      <c r="CB107" s="175"/>
      <c r="CC107" s="173"/>
      <c r="CD107" s="173"/>
    </row>
    <row r="108" ht="15.75" customHeight="1">
      <c r="A108" s="11"/>
      <c r="B108" s="221" t="str">
        <f>IF(B106="","",B106+7)</f>
        <v/>
      </c>
      <c r="C108" s="222"/>
      <c r="D108" s="223" t="str">
        <f t="shared" si="27"/>
        <v>Weight</v>
      </c>
      <c r="E108" s="272"/>
      <c r="F108" s="273"/>
      <c r="G108" s="274"/>
      <c r="H108" s="274"/>
      <c r="I108" s="274"/>
      <c r="J108" s="274"/>
      <c r="K108" s="274"/>
      <c r="L108" s="284" t="str">
        <f t="shared" si="6"/>
        <v/>
      </c>
      <c r="M108" s="227"/>
      <c r="N108" s="302"/>
      <c r="O108" s="302"/>
      <c r="P108" s="302"/>
      <c r="Q108" s="276" t="str">
        <f>BL108</f>
        <v/>
      </c>
      <c r="R108" s="228"/>
      <c r="S108" s="230" t="str">
        <f>IFERROR(__xludf.DUMMYFUNCTION("IF(L108="""","""",(L108-index(filter($L$36:L106,$L$36:L106&lt;&gt;"""",ISEVEN(row($L$36:L106))),count(filter($L$36:L106,$L$36:L106&lt;&gt;"""",iseven(row($L$36:L106)))),1)))"),"")</f>
        <v/>
      </c>
      <c r="T108" s="231"/>
      <c r="U108" s="232" t="str">
        <f>if(BD$24=FALSE,"",IF(L108="","",BC108))</f>
        <v/>
      </c>
      <c r="V108" s="301"/>
      <c r="W108" s="234">
        <f>IF(count(S108:S109)&gt;1,1,0)</f>
        <v>0</v>
      </c>
      <c r="X108" s="235" t="str">
        <f>if(Y108="","","Week 37")</f>
        <v/>
      </c>
      <c r="Y108" s="236" t="str">
        <f>IF(S108="","",text(B108,"MMM-YY"))</f>
        <v/>
      </c>
      <c r="Z108" s="173"/>
      <c r="AA108" s="173"/>
      <c r="AC108" s="173"/>
      <c r="AD108" s="173"/>
      <c r="AE108" s="173"/>
      <c r="AF108" s="173"/>
      <c r="AG108" s="173"/>
      <c r="AH108" s="173"/>
      <c r="AI108" s="173"/>
      <c r="AJ108" s="296">
        <f>AJ106+1</f>
        <v>37</v>
      </c>
      <c r="AK108" s="277">
        <v>36.0</v>
      </c>
      <c r="AL108" s="54">
        <f t="shared" si="10"/>
        <v>0</v>
      </c>
      <c r="AM108" s="198" t="str">
        <f>IF(K108="",AM106,K108)</f>
        <v/>
      </c>
      <c r="AN108" s="54"/>
      <c r="AO108" s="241"/>
      <c r="AP108" s="242" t="str">
        <f t="shared" si="22"/>
        <v/>
      </c>
      <c r="AQ108" s="242" t="str">
        <f t="shared" ref="AQ108:AV108" si="152">IF(F108="",AP108,F108)</f>
        <v/>
      </c>
      <c r="AR108" s="242" t="str">
        <f t="shared" si="152"/>
        <v/>
      </c>
      <c r="AS108" s="242" t="str">
        <f t="shared" si="152"/>
        <v/>
      </c>
      <c r="AT108" s="242" t="str">
        <f t="shared" si="152"/>
        <v/>
      </c>
      <c r="AU108" s="242" t="str">
        <f t="shared" si="152"/>
        <v/>
      </c>
      <c r="AV108" s="242" t="str">
        <f t="shared" si="152"/>
        <v/>
      </c>
      <c r="AW108" s="278" t="str">
        <f t="shared" si="30"/>
        <v/>
      </c>
      <c r="AX108" s="244">
        <f>if(AND(AW108=AX$34,$AL108&gt;0),ROW(),0)</f>
        <v>0</v>
      </c>
      <c r="AY108" s="244">
        <f>if(AND(AW108=AY$34,$AL108&gt;0),ROW(),0)</f>
        <v>0</v>
      </c>
      <c r="AZ108" s="279" t="str">
        <f>IF(AW108="","",AW108-AW106)</f>
        <v/>
      </c>
      <c r="BA108" s="246">
        <f>if(BB108&gt;0,row(),0)</f>
        <v>108</v>
      </c>
      <c r="BB108" s="246">
        <f>max(if(E108=AW$30,COLUMN(E108),0),if(F108=AW$30,COLUMN(F108),0),if(G108=AW$30,COLUMN(G108),0),if(H108=AW$30,COLUMN(H108),0),if(I108=AW$30,COLUMN(I108),0),if(J108=AW$30,COLUMN(J108),0),if(K108=AW$30,COLUMN(K108),0))</f>
        <v>11</v>
      </c>
      <c r="BC108" s="247" t="str">
        <f>IF(BD108="","",IF(AZ108="","",BD108))</f>
        <v/>
      </c>
      <c r="BD108" s="248">
        <f>IF(AL108=0,BD106,IF(AL109=0,BD106,((AW109+(((-AZ108)*$BD$7)/AL109)+sum($BE$38:BE106))/AK108)))</f>
        <v>0</v>
      </c>
      <c r="BE108" s="249">
        <f>IF(AL108=0,BE106,IF(AL109=0,BE106,AW109+(((-AZ108)*$BD$7)/AL109)))</f>
        <v>0</v>
      </c>
      <c r="BF108" s="54"/>
      <c r="BG108" s="54"/>
      <c r="BH108" s="54"/>
      <c r="BI108" s="54"/>
      <c r="BJ108" s="173" t="str">
        <f>text(B108,"YYYY MMM")</f>
        <v/>
      </c>
      <c r="BK108" s="173"/>
      <c r="BL108" s="174" t="str">
        <f>if($G$13="Disable","", if($G$9="","",if(and($G$9="Male",count($N108:$O108)&lt;&gt;2),"",
if(and($G$9="Male",count($N108:$O108)=2),round(if($N108="","",
     if($G$14="cm",86.01*log($N108-$O108)-70.041*log($G$15)+30.3,
     if($G$14="inch",86.01*log(($N108-$O108)*2.54)-70.041*log($G$15*2.54)+30.3))),0),                                         
if(and($G$9="Female",count($N108:$P108)&lt;&gt;3),"",
if(and($G$9="Female",count($N108:$P108)=3),round(if($N108="","",
        if($G$14="cm",495/(1.29579-0.35004*log10($N108+$P108-$O108)+0.221 * log10($G$15))-450,
        if($G$14="inch",495/(1.29579-0.35004*log10(($N108+$P108-$O108)*2.54)+0.221 * log10($G$15*2.54))-450))),0)))))))</f>
        <v/>
      </c>
      <c r="BM108" s="173"/>
      <c r="BN108" s="175"/>
      <c r="BO108" s="253"/>
      <c r="BP108" s="250" t="str">
        <f t="shared" si="36"/>
        <v/>
      </c>
      <c r="BQ108" s="175"/>
      <c r="BR108" s="250"/>
      <c r="BS108" s="250" t="str">
        <f t="shared" si="15"/>
        <v/>
      </c>
      <c r="BT108" s="250" t="str">
        <f t="shared" si="37"/>
        <v/>
      </c>
      <c r="BU108" s="253" t="str">
        <f t="shared" si="33"/>
        <v/>
      </c>
      <c r="BV108" s="254" t="b">
        <f t="shared" si="17"/>
        <v>0</v>
      </c>
      <c r="BW108" s="175" t="str">
        <f t="shared" si="38"/>
        <v/>
      </c>
      <c r="BX108" s="44" t="b">
        <f t="shared" si="19"/>
        <v>0</v>
      </c>
      <c r="BY108" s="202" t="b">
        <f t="shared" si="20"/>
        <v>0</v>
      </c>
      <c r="BZ108" s="203">
        <f t="shared" si="25"/>
        <v>0</v>
      </c>
      <c r="CA108" s="175">
        <f t="shared" si="26"/>
        <v>0</v>
      </c>
      <c r="CB108" s="175"/>
      <c r="CC108" s="173"/>
      <c r="CD108" s="173"/>
    </row>
    <row r="109" ht="15.75" customHeight="1">
      <c r="A109" s="11"/>
      <c r="B109" s="255"/>
      <c r="C109" s="256"/>
      <c r="D109" s="257" t="str">
        <f t="shared" si="27"/>
        <v>Calories</v>
      </c>
      <c r="E109" s="258"/>
      <c r="F109" s="280"/>
      <c r="G109" s="259"/>
      <c r="H109" s="259"/>
      <c r="I109" s="259"/>
      <c r="J109" s="259"/>
      <c r="K109" s="259"/>
      <c r="L109" s="260" t="str">
        <f t="shared" si="6"/>
        <v/>
      </c>
      <c r="M109" s="261"/>
      <c r="N109" s="255"/>
      <c r="O109" s="255"/>
      <c r="P109" s="255"/>
      <c r="Q109" s="255"/>
      <c r="R109" s="255"/>
      <c r="S109" s="255"/>
      <c r="T109" s="231"/>
      <c r="U109" s="255"/>
      <c r="V109" s="301"/>
      <c r="W109" s="262"/>
      <c r="X109" s="262"/>
      <c r="Y109" s="263"/>
      <c r="Z109" s="173"/>
      <c r="AA109" s="173"/>
      <c r="AC109" s="173"/>
      <c r="AD109" s="173"/>
      <c r="AE109" s="173"/>
      <c r="AF109" s="173"/>
      <c r="AG109" s="173"/>
      <c r="AH109" s="173"/>
      <c r="AI109" s="173"/>
      <c r="AJ109" s="296">
        <f>AJ108+0.5</f>
        <v>37.5</v>
      </c>
      <c r="AK109" s="69"/>
      <c r="AL109" s="54">
        <f t="shared" si="10"/>
        <v>0</v>
      </c>
      <c r="AM109" s="183" t="str">
        <f>AM108</f>
        <v/>
      </c>
      <c r="AN109" s="54"/>
      <c r="AO109" s="267"/>
      <c r="AP109" s="242" t="str">
        <f t="shared" si="22"/>
        <v/>
      </c>
      <c r="AQ109" s="242" t="str">
        <f t="shared" ref="AQ109:AV109" si="153">IF(F109="",AP109,F109)</f>
        <v/>
      </c>
      <c r="AR109" s="242" t="str">
        <f t="shared" si="153"/>
        <v/>
      </c>
      <c r="AS109" s="242" t="str">
        <f t="shared" si="153"/>
        <v/>
      </c>
      <c r="AT109" s="242" t="str">
        <f t="shared" si="153"/>
        <v/>
      </c>
      <c r="AU109" s="242" t="str">
        <f t="shared" si="153"/>
        <v/>
      </c>
      <c r="AV109" s="242" t="str">
        <f t="shared" si="153"/>
        <v/>
      </c>
      <c r="AW109" s="268" t="str">
        <f t="shared" si="30"/>
        <v/>
      </c>
      <c r="AX109" s="269"/>
      <c r="AY109" s="270"/>
      <c r="AZ109" s="271"/>
      <c r="BA109" s="246"/>
      <c r="BB109" s="246"/>
      <c r="BC109" s="263"/>
      <c r="BD109" s="66"/>
      <c r="BE109" s="69"/>
      <c r="BF109" s="54"/>
      <c r="BG109" s="54"/>
      <c r="BH109" s="54"/>
      <c r="BI109" s="54"/>
      <c r="BK109" s="173"/>
      <c r="BM109" s="173"/>
      <c r="BN109" s="175"/>
      <c r="BO109" s="253"/>
      <c r="BP109" s="250" t="str">
        <f t="shared" si="36"/>
        <v/>
      </c>
      <c r="BQ109" s="175"/>
      <c r="BR109" s="250"/>
      <c r="BS109" s="250" t="str">
        <f t="shared" si="15"/>
        <v/>
      </c>
      <c r="BT109" s="250" t="str">
        <f t="shared" si="37"/>
        <v/>
      </c>
      <c r="BU109" s="253" t="str">
        <f t="shared" si="33"/>
        <v/>
      </c>
      <c r="BV109" s="254" t="b">
        <f t="shared" si="17"/>
        <v>0</v>
      </c>
      <c r="BW109" s="175" t="str">
        <f t="shared" si="38"/>
        <v/>
      </c>
      <c r="BX109" s="44" t="b">
        <f t="shared" si="19"/>
        <v>0</v>
      </c>
      <c r="BY109" s="202" t="b">
        <f t="shared" si="20"/>
        <v>0</v>
      </c>
      <c r="BZ109" s="203">
        <f t="shared" si="25"/>
        <v>0</v>
      </c>
      <c r="CA109" s="175">
        <f t="shared" si="26"/>
        <v>0</v>
      </c>
      <c r="CB109" s="175"/>
      <c r="CC109" s="173"/>
      <c r="CD109" s="173"/>
    </row>
    <row r="110" ht="15.75" customHeight="1">
      <c r="A110" s="11"/>
      <c r="B110" s="221" t="str">
        <f>IF(B108="","",B108+7)</f>
        <v/>
      </c>
      <c r="C110" s="222"/>
      <c r="D110" s="223" t="str">
        <f t="shared" si="27"/>
        <v>Weight</v>
      </c>
      <c r="E110" s="282"/>
      <c r="F110" s="274"/>
      <c r="G110" s="274"/>
      <c r="H110" s="297"/>
      <c r="I110" s="297"/>
      <c r="J110" s="297"/>
      <c r="K110" s="297"/>
      <c r="L110" s="284" t="str">
        <f t="shared" si="6"/>
        <v/>
      </c>
      <c r="M110" s="227"/>
      <c r="N110" s="302"/>
      <c r="O110" s="302"/>
      <c r="P110" s="302"/>
      <c r="Q110" s="276" t="str">
        <f>BL110</f>
        <v/>
      </c>
      <c r="R110" s="228"/>
      <c r="S110" s="230" t="str">
        <f>IFERROR(__xludf.DUMMYFUNCTION("IF(L110="""","""",(L110-index(filter($L$36:L108,$L$36:L108&lt;&gt;"""",ISEVEN(row($L$36:L108))),count(filter($L$36:L108,$L$36:L108&lt;&gt;"""",iseven(row($L$36:L108)))),1)))"),"")</f>
        <v/>
      </c>
      <c r="T110" s="231"/>
      <c r="U110" s="232" t="str">
        <f>if(BD$24=FALSE,"",IF(L110="","",BC110))</f>
        <v/>
      </c>
      <c r="V110" s="301"/>
      <c r="W110" s="234">
        <f>IF(count(S110:S111)&gt;1,1,0)</f>
        <v>0</v>
      </c>
      <c r="X110" s="235" t="str">
        <f>if(Y110="","","Week 38")</f>
        <v/>
      </c>
      <c r="Y110" s="236" t="str">
        <f>IF(S110="","",text(B110,"MMM-YY"))</f>
        <v/>
      </c>
      <c r="Z110" s="173"/>
      <c r="AA110" s="173"/>
      <c r="AC110" s="173"/>
      <c r="AD110" s="173"/>
      <c r="AE110" s="173"/>
      <c r="AF110" s="173"/>
      <c r="AG110" s="173"/>
      <c r="AH110" s="173"/>
      <c r="AI110" s="173"/>
      <c r="AJ110" s="296">
        <f>AJ108+1</f>
        <v>38</v>
      </c>
      <c r="AK110" s="277">
        <v>37.0</v>
      </c>
      <c r="AL110" s="54">
        <f t="shared" si="10"/>
        <v>0</v>
      </c>
      <c r="AM110" s="198" t="str">
        <f>IF(K110="",AM108,K110)</f>
        <v/>
      </c>
      <c r="AN110" s="54"/>
      <c r="AO110" s="241"/>
      <c r="AP110" s="242" t="str">
        <f t="shared" si="22"/>
        <v/>
      </c>
      <c r="AQ110" s="242" t="str">
        <f t="shared" ref="AQ110:AV110" si="154">IF(F110="",AP110,F110)</f>
        <v/>
      </c>
      <c r="AR110" s="242" t="str">
        <f t="shared" si="154"/>
        <v/>
      </c>
      <c r="AS110" s="242" t="str">
        <f t="shared" si="154"/>
        <v/>
      </c>
      <c r="AT110" s="242" t="str">
        <f t="shared" si="154"/>
        <v/>
      </c>
      <c r="AU110" s="242" t="str">
        <f t="shared" si="154"/>
        <v/>
      </c>
      <c r="AV110" s="242" t="str">
        <f t="shared" si="154"/>
        <v/>
      </c>
      <c r="AW110" s="278" t="str">
        <f t="shared" si="30"/>
        <v/>
      </c>
      <c r="AX110" s="244">
        <f>if(AND(AW110=AX$34,$AL110&gt;0),ROW(),0)</f>
        <v>0</v>
      </c>
      <c r="AY110" s="244">
        <f>if(AND(AW110=AY$34,$AL110&gt;0),ROW(),0)</f>
        <v>0</v>
      </c>
      <c r="AZ110" s="279" t="str">
        <f>IF(AW110="","",AW110-AW108)</f>
        <v/>
      </c>
      <c r="BA110" s="246">
        <f>if(BB110&gt;0,row(),0)</f>
        <v>110</v>
      </c>
      <c r="BB110" s="246">
        <f>max(if(E110=AW$30,COLUMN(E110),0),if(F110=AW$30,COLUMN(F110),0),if(G110=AW$30,COLUMN(G110),0),if(H110=AW$30,COLUMN(H110),0),if(I110=AW$30,COLUMN(I110),0),if(J110=AW$30,COLUMN(J110),0),if(K110=AW$30,COLUMN(K110),0))</f>
        <v>11</v>
      </c>
      <c r="BC110" s="247" t="str">
        <f>IF(BD110="","",IF(AZ110="","",BD110))</f>
        <v/>
      </c>
      <c r="BD110" s="248">
        <f>IF(AL110=0,BD108,IF(AL111=0,BD108,((AW111+(((-AZ110)*$BD$7)/AL111)+sum($BE$38:BE108))/AK110)))</f>
        <v>0</v>
      </c>
      <c r="BE110" s="249">
        <f>IF(AL110=0,BE108,IF(AL111=0,BE108,AW111+(((-AZ110)*$BD$7)/AL111)))</f>
        <v>0</v>
      </c>
      <c r="BF110" s="54"/>
      <c r="BG110" s="54"/>
      <c r="BH110" s="54"/>
      <c r="BI110" s="54"/>
      <c r="BJ110" s="173" t="str">
        <f>text(B110,"YYYY MMM")</f>
        <v/>
      </c>
      <c r="BK110" s="173"/>
      <c r="BL110" s="174" t="str">
        <f>if($G$13="Disable","", if($G$9="","",if(and($G$9="Male",count($N110:$O110)&lt;&gt;2),"",
if(and($G$9="Male",count($N110:$O110)=2),round(if($N110="","",
     if($G$14="cm",86.01*log($N110-$O110)-70.041*log($G$15)+30.3,
     if($G$14="inch",86.01*log(($N110-$O110)*2.54)-70.041*log($G$15*2.54)+30.3))),0),                                         
if(and($G$9="Female",count($N110:$P110)&lt;&gt;3),"",
if(and($G$9="Female",count($N110:$P110)=3),round(if($N110="","",
        if($G$14="cm",495/(1.29579-0.35004*log10($N110+$P110-$O110)+0.221 * log10($G$15))-450,
        if($G$14="inch",495/(1.29579-0.35004*log10(($N110+$P110-$O110)*2.54)+0.221 * log10($G$15*2.54))-450))),0)))))))</f>
        <v/>
      </c>
      <c r="BM110" s="173"/>
      <c r="BN110" s="175"/>
      <c r="BO110" s="253"/>
      <c r="BP110" s="250" t="str">
        <f t="shared" si="36"/>
        <v/>
      </c>
      <c r="BQ110" s="175"/>
      <c r="BR110" s="250"/>
      <c r="BS110" s="250" t="str">
        <f t="shared" si="15"/>
        <v/>
      </c>
      <c r="BT110" s="250" t="str">
        <f t="shared" si="37"/>
        <v/>
      </c>
      <c r="BU110" s="253" t="str">
        <f t="shared" si="33"/>
        <v/>
      </c>
      <c r="BV110" s="254" t="b">
        <f t="shared" si="17"/>
        <v>0</v>
      </c>
      <c r="BW110" s="175" t="str">
        <f t="shared" si="38"/>
        <v/>
      </c>
      <c r="BX110" s="44" t="b">
        <f t="shared" si="19"/>
        <v>0</v>
      </c>
      <c r="BY110" s="202" t="b">
        <f t="shared" si="20"/>
        <v>0</v>
      </c>
      <c r="BZ110" s="203">
        <f t="shared" si="25"/>
        <v>0</v>
      </c>
      <c r="CA110" s="175">
        <f t="shared" si="26"/>
        <v>0</v>
      </c>
      <c r="CB110" s="175"/>
      <c r="CC110" s="173"/>
      <c r="CD110" s="173"/>
    </row>
    <row r="111" ht="15.75" customHeight="1">
      <c r="A111" s="11"/>
      <c r="B111" s="255"/>
      <c r="C111" s="256"/>
      <c r="D111" s="257" t="str">
        <f t="shared" si="27"/>
        <v>Calories</v>
      </c>
      <c r="E111" s="285"/>
      <c r="F111" s="259"/>
      <c r="G111" s="298"/>
      <c r="H111" s="299"/>
      <c r="I111" s="299"/>
      <c r="J111" s="299"/>
      <c r="K111" s="299"/>
      <c r="L111" s="260" t="str">
        <f t="shared" si="6"/>
        <v/>
      </c>
      <c r="M111" s="261"/>
      <c r="N111" s="255"/>
      <c r="O111" s="255"/>
      <c r="P111" s="255"/>
      <c r="Q111" s="255"/>
      <c r="R111" s="255"/>
      <c r="S111" s="255"/>
      <c r="T111" s="231"/>
      <c r="U111" s="255"/>
      <c r="V111" s="301"/>
      <c r="W111" s="262"/>
      <c r="X111" s="262"/>
      <c r="Y111" s="263"/>
      <c r="Z111" s="173"/>
      <c r="AA111" s="173"/>
      <c r="AC111" s="173"/>
      <c r="AD111" s="173"/>
      <c r="AE111" s="173"/>
      <c r="AF111" s="173"/>
      <c r="AG111" s="173"/>
      <c r="AH111" s="173"/>
      <c r="AI111" s="173"/>
      <c r="AJ111" s="296">
        <f>AJ110+0.5</f>
        <v>38.5</v>
      </c>
      <c r="AK111" s="69"/>
      <c r="AL111" s="54">
        <f t="shared" si="10"/>
        <v>0</v>
      </c>
      <c r="AM111" s="183" t="str">
        <f>AM110</f>
        <v/>
      </c>
      <c r="AN111" s="54"/>
      <c r="AO111" s="267"/>
      <c r="AP111" s="242" t="str">
        <f t="shared" si="22"/>
        <v/>
      </c>
      <c r="AQ111" s="242" t="str">
        <f t="shared" ref="AQ111:AV111" si="155">IF(F111="",AP111,F111)</f>
        <v/>
      </c>
      <c r="AR111" s="242" t="str">
        <f t="shared" si="155"/>
        <v/>
      </c>
      <c r="AS111" s="242" t="str">
        <f t="shared" si="155"/>
        <v/>
      </c>
      <c r="AT111" s="242" t="str">
        <f t="shared" si="155"/>
        <v/>
      </c>
      <c r="AU111" s="242" t="str">
        <f t="shared" si="155"/>
        <v/>
      </c>
      <c r="AV111" s="242" t="str">
        <f t="shared" si="155"/>
        <v/>
      </c>
      <c r="AW111" s="268" t="str">
        <f t="shared" si="30"/>
        <v/>
      </c>
      <c r="AX111" s="269"/>
      <c r="AY111" s="270"/>
      <c r="AZ111" s="271"/>
      <c r="BA111" s="246"/>
      <c r="BB111" s="246"/>
      <c r="BC111" s="263"/>
      <c r="BD111" s="66"/>
      <c r="BE111" s="69"/>
      <c r="BF111" s="54"/>
      <c r="BG111" s="54"/>
      <c r="BH111" s="54"/>
      <c r="BI111" s="54"/>
      <c r="BK111" s="173"/>
      <c r="BM111" s="173"/>
      <c r="BN111" s="175"/>
      <c r="BO111" s="253"/>
      <c r="BP111" s="250" t="str">
        <f t="shared" si="36"/>
        <v/>
      </c>
      <c r="BQ111" s="175"/>
      <c r="BR111" s="250"/>
      <c r="BS111" s="250" t="str">
        <f t="shared" si="15"/>
        <v/>
      </c>
      <c r="BT111" s="250" t="str">
        <f t="shared" si="37"/>
        <v/>
      </c>
      <c r="BU111" s="253" t="str">
        <f t="shared" si="33"/>
        <v/>
      </c>
      <c r="BV111" s="254" t="b">
        <f t="shared" si="17"/>
        <v>0</v>
      </c>
      <c r="BW111" s="175" t="str">
        <f t="shared" si="38"/>
        <v/>
      </c>
      <c r="BX111" s="44" t="b">
        <f t="shared" si="19"/>
        <v>0</v>
      </c>
      <c r="BY111" s="202" t="b">
        <f t="shared" si="20"/>
        <v>0</v>
      </c>
      <c r="BZ111" s="203">
        <f t="shared" si="25"/>
        <v>0</v>
      </c>
      <c r="CA111" s="175">
        <f t="shared" si="26"/>
        <v>0</v>
      </c>
      <c r="CB111" s="175"/>
      <c r="CC111" s="173"/>
      <c r="CD111" s="173"/>
    </row>
    <row r="112" ht="15.75" customHeight="1">
      <c r="A112" s="11"/>
      <c r="B112" s="221" t="str">
        <f>IF(B110="","",B110+7)</f>
        <v/>
      </c>
      <c r="C112" s="222"/>
      <c r="D112" s="223" t="str">
        <f t="shared" si="27"/>
        <v>Weight</v>
      </c>
      <c r="E112" s="224"/>
      <c r="F112" s="300"/>
      <c r="G112" s="225"/>
      <c r="H112" s="225"/>
      <c r="I112" s="225"/>
      <c r="J112" s="225"/>
      <c r="K112" s="225"/>
      <c r="L112" s="284" t="str">
        <f t="shared" si="6"/>
        <v/>
      </c>
      <c r="M112" s="227"/>
      <c r="N112" s="302"/>
      <c r="O112" s="302"/>
      <c r="P112" s="302"/>
      <c r="Q112" s="276" t="str">
        <f>BL112</f>
        <v/>
      </c>
      <c r="R112" s="228"/>
      <c r="S112" s="230" t="str">
        <f>IFERROR(__xludf.DUMMYFUNCTION("IF(L112="""","""",(L112-index(filter($L$36:L110,$L$36:L110&lt;&gt;"""",ISEVEN(row($L$36:L110))),count(filter($L$36:L110,$L$36:L110&lt;&gt;"""",iseven(row($L$36:L110)))),1)))"),"")</f>
        <v/>
      </c>
      <c r="T112" s="231"/>
      <c r="U112" s="232" t="str">
        <f>if(BD$24=FALSE,"",IF(L112="","",BC112))</f>
        <v/>
      </c>
      <c r="V112" s="301"/>
      <c r="W112" s="234">
        <f>IF(count(S112:S113)&gt;1,1,0)</f>
        <v>0</v>
      </c>
      <c r="X112" s="235" t="str">
        <f>if(Y112="","","Week 39")</f>
        <v/>
      </c>
      <c r="Y112" s="236" t="str">
        <f>IF(S112="","",text(B112,"MMM-YY"))</f>
        <v/>
      </c>
      <c r="Z112" s="173"/>
      <c r="AA112" s="173"/>
      <c r="AC112" s="173"/>
      <c r="AD112" s="173"/>
      <c r="AE112" s="173"/>
      <c r="AF112" s="173"/>
      <c r="AG112" s="173"/>
      <c r="AH112" s="173"/>
      <c r="AI112" s="173"/>
      <c r="AJ112" s="296">
        <f>AJ110+1</f>
        <v>39</v>
      </c>
      <c r="AK112" s="277">
        <v>38.0</v>
      </c>
      <c r="AL112" s="54">
        <f t="shared" si="10"/>
        <v>0</v>
      </c>
      <c r="AM112" s="198" t="str">
        <f>IF(K112="",AM110,K112)</f>
        <v/>
      </c>
      <c r="AN112" s="54"/>
      <c r="AO112" s="241"/>
      <c r="AP112" s="242" t="str">
        <f t="shared" si="22"/>
        <v/>
      </c>
      <c r="AQ112" s="242" t="str">
        <f t="shared" ref="AQ112:AV112" si="156">IF(F112="",AP112,F112)</f>
        <v/>
      </c>
      <c r="AR112" s="242" t="str">
        <f t="shared" si="156"/>
        <v/>
      </c>
      <c r="AS112" s="242" t="str">
        <f t="shared" si="156"/>
        <v/>
      </c>
      <c r="AT112" s="242" t="str">
        <f t="shared" si="156"/>
        <v/>
      </c>
      <c r="AU112" s="242" t="str">
        <f t="shared" si="156"/>
        <v/>
      </c>
      <c r="AV112" s="242" t="str">
        <f t="shared" si="156"/>
        <v/>
      </c>
      <c r="AW112" s="278" t="str">
        <f t="shared" si="30"/>
        <v/>
      </c>
      <c r="AX112" s="244">
        <f>if(AND(AW112=AX$34,$AL112&gt;0),ROW(),0)</f>
        <v>0</v>
      </c>
      <c r="AY112" s="244">
        <f>if(AND(AW112=AY$34,$AL112&gt;0),ROW(),0)</f>
        <v>0</v>
      </c>
      <c r="AZ112" s="279" t="str">
        <f>IF(AW112="","",AW112-AW110)</f>
        <v/>
      </c>
      <c r="BA112" s="246">
        <f>if(BB112&gt;0,row(),0)</f>
        <v>112</v>
      </c>
      <c r="BB112" s="246">
        <f>max(if(E112=AW$30,COLUMN(E112),0),if(F112=AW$30,COLUMN(F112),0),if(G112=AW$30,COLUMN(G112),0),if(H112=AW$30,COLUMN(H112),0),if(I112=AW$30,COLUMN(I112),0),if(J112=AW$30,COLUMN(J112),0),if(K112=AW$30,COLUMN(K112),0))</f>
        <v>11</v>
      </c>
      <c r="BC112" s="247" t="str">
        <f>IF(BD112="","",IF(AZ112="","",BD112))</f>
        <v/>
      </c>
      <c r="BD112" s="248">
        <f>IF(AL112=0,BD110,IF(AL113=0,BD110,((AW113+(((-AZ112)*$BD$7)/AL113)+sum($BE$38:BE110))/AK112)))</f>
        <v>0</v>
      </c>
      <c r="BE112" s="249">
        <f>IF(AL112=0,BE110,IF(AL113=0,BE110,AW113+(((-AZ112)*$BD$7)/AL113)))</f>
        <v>0</v>
      </c>
      <c r="BF112" s="54"/>
      <c r="BG112" s="54"/>
      <c r="BH112" s="54"/>
      <c r="BI112" s="54"/>
      <c r="BJ112" s="173" t="str">
        <f>text(B112,"YYYY MMM")</f>
        <v/>
      </c>
      <c r="BK112" s="173"/>
      <c r="BL112" s="174" t="str">
        <f>if($G$13="Disable","", if($G$9="","",if(and($G$9="Male",count($N112:$O112)&lt;&gt;2),"",
if(and($G$9="Male",count($N112:$O112)=2),round(if($N112="","",
     if($G$14="cm",86.01*log($N112-$O112)-70.041*log($G$15)+30.3,
     if($G$14="inch",86.01*log(($N112-$O112)*2.54)-70.041*log($G$15*2.54)+30.3))),0),                                         
if(and($G$9="Female",count($N112:$P112)&lt;&gt;3),"",
if(and($G$9="Female",count($N112:$P112)=3),round(if($N112="","",
        if($G$14="cm",495/(1.29579-0.35004*log10($N112+$P112-$O112)+0.221 * log10($G$15))-450,
        if($G$14="inch",495/(1.29579-0.35004*log10(($N112+$P112-$O112)*2.54)+0.221 * log10($G$15*2.54))-450))),0)))))))</f>
        <v/>
      </c>
      <c r="BM112" s="173"/>
      <c r="BN112" s="175"/>
      <c r="BO112" s="253"/>
      <c r="BP112" s="250" t="str">
        <f t="shared" si="36"/>
        <v/>
      </c>
      <c r="BQ112" s="175"/>
      <c r="BR112" s="250"/>
      <c r="BS112" s="250" t="str">
        <f t="shared" si="15"/>
        <v/>
      </c>
      <c r="BT112" s="250" t="str">
        <f t="shared" si="37"/>
        <v/>
      </c>
      <c r="BU112" s="253" t="str">
        <f t="shared" si="33"/>
        <v/>
      </c>
      <c r="BV112" s="254" t="b">
        <f t="shared" si="17"/>
        <v>0</v>
      </c>
      <c r="BW112" s="175" t="str">
        <f t="shared" si="38"/>
        <v/>
      </c>
      <c r="BX112" s="44" t="b">
        <f t="shared" si="19"/>
        <v>0</v>
      </c>
      <c r="BY112" s="202" t="b">
        <f t="shared" si="20"/>
        <v>0</v>
      </c>
      <c r="BZ112" s="203">
        <f t="shared" si="25"/>
        <v>0</v>
      </c>
      <c r="CA112" s="175">
        <f t="shared" si="26"/>
        <v>0</v>
      </c>
      <c r="CB112" s="175"/>
      <c r="CC112" s="173"/>
      <c r="CD112" s="173"/>
    </row>
    <row r="113" ht="15.75" customHeight="1">
      <c r="A113" s="11"/>
      <c r="B113" s="255"/>
      <c r="C113" s="256"/>
      <c r="D113" s="257" t="str">
        <f t="shared" si="27"/>
        <v>Calories</v>
      </c>
      <c r="E113" s="258"/>
      <c r="F113" s="280"/>
      <c r="G113" s="259"/>
      <c r="H113" s="259"/>
      <c r="I113" s="259"/>
      <c r="J113" s="259"/>
      <c r="K113" s="259"/>
      <c r="L113" s="260" t="str">
        <f t="shared" si="6"/>
        <v/>
      </c>
      <c r="M113" s="261"/>
      <c r="N113" s="255"/>
      <c r="O113" s="255"/>
      <c r="P113" s="255"/>
      <c r="Q113" s="255"/>
      <c r="R113" s="255"/>
      <c r="S113" s="255"/>
      <c r="T113" s="231"/>
      <c r="U113" s="255"/>
      <c r="V113" s="301"/>
      <c r="W113" s="262"/>
      <c r="X113" s="262"/>
      <c r="Y113" s="263"/>
      <c r="Z113" s="173"/>
      <c r="AA113" s="173"/>
      <c r="AC113" s="173"/>
      <c r="AD113" s="173"/>
      <c r="AE113" s="173"/>
      <c r="AF113" s="173"/>
      <c r="AG113" s="173"/>
      <c r="AH113" s="173"/>
      <c r="AI113" s="173"/>
      <c r="AJ113" s="296">
        <f>AJ112+0.5</f>
        <v>39.5</v>
      </c>
      <c r="AK113" s="69"/>
      <c r="AL113" s="54">
        <f t="shared" si="10"/>
        <v>0</v>
      </c>
      <c r="AM113" s="183" t="str">
        <f>AM112</f>
        <v/>
      </c>
      <c r="AN113" s="54"/>
      <c r="AO113" s="267"/>
      <c r="AP113" s="242" t="str">
        <f t="shared" si="22"/>
        <v/>
      </c>
      <c r="AQ113" s="242" t="str">
        <f t="shared" ref="AQ113:AV113" si="157">IF(F113="",AP113,F113)</f>
        <v/>
      </c>
      <c r="AR113" s="242" t="str">
        <f t="shared" si="157"/>
        <v/>
      </c>
      <c r="AS113" s="242" t="str">
        <f t="shared" si="157"/>
        <v/>
      </c>
      <c r="AT113" s="242" t="str">
        <f t="shared" si="157"/>
        <v/>
      </c>
      <c r="AU113" s="242" t="str">
        <f t="shared" si="157"/>
        <v/>
      </c>
      <c r="AV113" s="242" t="str">
        <f t="shared" si="157"/>
        <v/>
      </c>
      <c r="AW113" s="268" t="str">
        <f t="shared" si="30"/>
        <v/>
      </c>
      <c r="AX113" s="269"/>
      <c r="AY113" s="270"/>
      <c r="AZ113" s="271"/>
      <c r="BA113" s="246"/>
      <c r="BB113" s="246"/>
      <c r="BC113" s="263"/>
      <c r="BD113" s="66"/>
      <c r="BE113" s="69"/>
      <c r="BF113" s="54"/>
      <c r="BG113" s="54"/>
      <c r="BH113" s="54"/>
      <c r="BI113" s="54"/>
      <c r="BK113" s="173"/>
      <c r="BM113" s="173"/>
      <c r="BN113" s="175"/>
      <c r="BO113" s="253"/>
      <c r="BP113" s="250" t="str">
        <f t="shared" si="36"/>
        <v/>
      </c>
      <c r="BQ113" s="175"/>
      <c r="BR113" s="250"/>
      <c r="BS113" s="250" t="str">
        <f t="shared" si="15"/>
        <v/>
      </c>
      <c r="BT113" s="250" t="str">
        <f t="shared" si="37"/>
        <v/>
      </c>
      <c r="BU113" s="253" t="str">
        <f t="shared" si="33"/>
        <v/>
      </c>
      <c r="BV113" s="254" t="b">
        <f t="shared" si="17"/>
        <v>0</v>
      </c>
      <c r="BW113" s="175" t="str">
        <f t="shared" si="38"/>
        <v/>
      </c>
      <c r="BX113" s="44" t="b">
        <f t="shared" si="19"/>
        <v>0</v>
      </c>
      <c r="BY113" s="202" t="b">
        <f t="shared" si="20"/>
        <v>0</v>
      </c>
      <c r="BZ113" s="203">
        <f t="shared" si="25"/>
        <v>0</v>
      </c>
      <c r="CA113" s="175">
        <f t="shared" si="26"/>
        <v>0</v>
      </c>
      <c r="CB113" s="175"/>
      <c r="CC113" s="173"/>
      <c r="CD113" s="173"/>
    </row>
    <row r="114" ht="15.75" customHeight="1">
      <c r="A114" s="11"/>
      <c r="B114" s="221" t="str">
        <f>IF(B112="","",B112+7)</f>
        <v/>
      </c>
      <c r="C114" s="222"/>
      <c r="D114" s="223" t="str">
        <f t="shared" si="27"/>
        <v>Weight</v>
      </c>
      <c r="E114" s="272"/>
      <c r="F114" s="273"/>
      <c r="G114" s="274"/>
      <c r="H114" s="274"/>
      <c r="I114" s="274"/>
      <c r="J114" s="274"/>
      <c r="K114" s="274"/>
      <c r="L114" s="284" t="str">
        <f t="shared" si="6"/>
        <v/>
      </c>
      <c r="M114" s="227"/>
      <c r="N114" s="302"/>
      <c r="O114" s="302"/>
      <c r="P114" s="302"/>
      <c r="Q114" s="276" t="str">
        <f>BL114</f>
        <v/>
      </c>
      <c r="R114" s="228"/>
      <c r="S114" s="230" t="str">
        <f>IFERROR(__xludf.DUMMYFUNCTION("IF(L114="""","""",(L114-index(filter($L$36:L112,$L$36:L112&lt;&gt;"""",ISEVEN(row($L$36:L112))),count(filter($L$36:L112,$L$36:L112&lt;&gt;"""",iseven(row($L$36:L112)))),1)))"),"")</f>
        <v/>
      </c>
      <c r="T114" s="231"/>
      <c r="U114" s="232" t="str">
        <f>if(BD$24=FALSE,"",IF(L114="","",BC114))</f>
        <v/>
      </c>
      <c r="V114" s="301"/>
      <c r="W114" s="234">
        <f>IF(count(S114:S115)&gt;1,1,0)</f>
        <v>0</v>
      </c>
      <c r="X114" s="235" t="str">
        <f>if(Y114="","","Week 40")</f>
        <v/>
      </c>
      <c r="Y114" s="236" t="str">
        <f>IF(S114="","",text(B114,"MMM-YY"))</f>
        <v/>
      </c>
      <c r="Z114" s="173"/>
      <c r="AA114" s="173"/>
      <c r="AC114" s="173"/>
      <c r="AD114" s="173"/>
      <c r="AE114" s="173"/>
      <c r="AF114" s="173"/>
      <c r="AG114" s="173"/>
      <c r="AH114" s="173"/>
      <c r="AI114" s="173"/>
      <c r="AJ114" s="296">
        <f>AJ112+1</f>
        <v>40</v>
      </c>
      <c r="AK114" s="277">
        <v>39.0</v>
      </c>
      <c r="AL114" s="54">
        <f t="shared" si="10"/>
        <v>0</v>
      </c>
      <c r="AM114" s="198" t="str">
        <f>IF(K114="",AM112,K114)</f>
        <v/>
      </c>
      <c r="AN114" s="54"/>
      <c r="AO114" s="241"/>
      <c r="AP114" s="242" t="str">
        <f t="shared" si="22"/>
        <v/>
      </c>
      <c r="AQ114" s="242" t="str">
        <f t="shared" ref="AQ114:AV114" si="158">IF(F114="",AP114,F114)</f>
        <v/>
      </c>
      <c r="AR114" s="242" t="str">
        <f t="shared" si="158"/>
        <v/>
      </c>
      <c r="AS114" s="242" t="str">
        <f t="shared" si="158"/>
        <v/>
      </c>
      <c r="AT114" s="242" t="str">
        <f t="shared" si="158"/>
        <v/>
      </c>
      <c r="AU114" s="242" t="str">
        <f t="shared" si="158"/>
        <v/>
      </c>
      <c r="AV114" s="242" t="str">
        <f t="shared" si="158"/>
        <v/>
      </c>
      <c r="AW114" s="278" t="str">
        <f t="shared" si="30"/>
        <v/>
      </c>
      <c r="AX114" s="244">
        <f>if(AND(AW114=AX$34,$AL114&gt;0),ROW(),0)</f>
        <v>0</v>
      </c>
      <c r="AY114" s="244">
        <f>if(AND(AW114=AY$34,$AL114&gt;0),ROW(),0)</f>
        <v>0</v>
      </c>
      <c r="AZ114" s="279" t="str">
        <f>IF(AW114="","",AW114-AW112)</f>
        <v/>
      </c>
      <c r="BA114" s="246">
        <f>if(BB114&gt;0,row(),0)</f>
        <v>114</v>
      </c>
      <c r="BB114" s="246">
        <f>max(if(E114=AW$30,COLUMN(E114),0),if(F114=AW$30,COLUMN(F114),0),if(G114=AW$30,COLUMN(G114),0),if(H114=AW$30,COLUMN(H114),0),if(I114=AW$30,COLUMN(I114),0),if(J114=AW$30,COLUMN(J114),0),if(K114=AW$30,COLUMN(K114),0))</f>
        <v>11</v>
      </c>
      <c r="BC114" s="247" t="str">
        <f>IF(BD114="","",IF(AZ114="","",BD114))</f>
        <v/>
      </c>
      <c r="BD114" s="248">
        <f>IF(AL114=0,BD112,IF(AL115=0,BD112,((AW115+(((-AZ114)*$BD$7)/AL115)+sum($BE$38:BE112))/AK114)))</f>
        <v>0</v>
      </c>
      <c r="BE114" s="249">
        <f>IF(AL114=0,BE112,IF(AL115=0,BE112,AW115+(((-AZ114)*$BD$7)/AL115)))</f>
        <v>0</v>
      </c>
      <c r="BF114" s="54"/>
      <c r="BG114" s="54"/>
      <c r="BH114" s="54"/>
      <c r="BI114" s="54"/>
      <c r="BJ114" s="173" t="str">
        <f>text(B114,"YYYY MMM")</f>
        <v/>
      </c>
      <c r="BK114" s="173"/>
      <c r="BL114" s="174" t="str">
        <f>if($G$13="Disable","", if($G$9="","",if(and($G$9="Male",count($N114:$O114)&lt;&gt;2),"",
if(and($G$9="Male",count($N114:$O114)=2),round(if($N114="","",
     if($G$14="cm",86.01*log($N114-$O114)-70.041*log($G$15)+30.3,
     if($G$14="inch",86.01*log(($N114-$O114)*2.54)-70.041*log($G$15*2.54)+30.3))),0),                                         
if(and($G$9="Female",count($N114:$P114)&lt;&gt;3),"",
if(and($G$9="Female",count($N114:$P114)=3),round(if($N114="","",
        if($G$14="cm",495/(1.29579-0.35004*log10($N114+$P114-$O114)+0.221 * log10($G$15))-450,
        if($G$14="inch",495/(1.29579-0.35004*log10(($N114+$P114-$O114)*2.54)+0.221 * log10($G$15*2.54))-450))),0)))))))</f>
        <v/>
      </c>
      <c r="BM114" s="173"/>
      <c r="BN114" s="175"/>
      <c r="BO114" s="253"/>
      <c r="BP114" s="250" t="str">
        <f t="shared" si="36"/>
        <v/>
      </c>
      <c r="BQ114" s="175"/>
      <c r="BR114" s="250"/>
      <c r="BS114" s="250" t="str">
        <f t="shared" si="15"/>
        <v/>
      </c>
      <c r="BT114" s="250" t="str">
        <f t="shared" si="37"/>
        <v/>
      </c>
      <c r="BU114" s="253" t="str">
        <f t="shared" si="33"/>
        <v/>
      </c>
      <c r="BV114" s="254" t="b">
        <f t="shared" si="17"/>
        <v>0</v>
      </c>
      <c r="BW114" s="175" t="str">
        <f t="shared" si="38"/>
        <v/>
      </c>
      <c r="BX114" s="44" t="b">
        <f t="shared" si="19"/>
        <v>0</v>
      </c>
      <c r="BY114" s="202" t="b">
        <f t="shared" si="20"/>
        <v>0</v>
      </c>
      <c r="BZ114" s="203">
        <f t="shared" si="25"/>
        <v>0</v>
      </c>
      <c r="CA114" s="175">
        <f t="shared" si="26"/>
        <v>0</v>
      </c>
      <c r="CB114" s="175"/>
      <c r="CC114" s="173"/>
      <c r="CD114" s="173"/>
    </row>
    <row r="115" ht="15.75" customHeight="1">
      <c r="A115" s="11"/>
      <c r="B115" s="255"/>
      <c r="C115" s="256"/>
      <c r="D115" s="257" t="str">
        <f t="shared" si="27"/>
        <v>Calories</v>
      </c>
      <c r="E115" s="258"/>
      <c r="F115" s="280"/>
      <c r="G115" s="259"/>
      <c r="H115" s="259"/>
      <c r="I115" s="259"/>
      <c r="J115" s="259"/>
      <c r="K115" s="259"/>
      <c r="L115" s="260" t="str">
        <f t="shared" si="6"/>
        <v/>
      </c>
      <c r="M115" s="261"/>
      <c r="N115" s="255"/>
      <c r="O115" s="255"/>
      <c r="P115" s="255"/>
      <c r="Q115" s="255"/>
      <c r="R115" s="255"/>
      <c r="S115" s="255"/>
      <c r="T115" s="231"/>
      <c r="U115" s="255"/>
      <c r="V115" s="301"/>
      <c r="W115" s="262"/>
      <c r="X115" s="262"/>
      <c r="Y115" s="263"/>
      <c r="Z115" s="173"/>
      <c r="AA115" s="173"/>
      <c r="AC115" s="173"/>
      <c r="AD115" s="173"/>
      <c r="AE115" s="173"/>
      <c r="AF115" s="173"/>
      <c r="AG115" s="173"/>
      <c r="AH115" s="173"/>
      <c r="AI115" s="173"/>
      <c r="AJ115" s="296">
        <f>AJ114+0.5</f>
        <v>40.5</v>
      </c>
      <c r="AK115" s="69"/>
      <c r="AL115" s="54">
        <f t="shared" si="10"/>
        <v>0</v>
      </c>
      <c r="AM115" s="183" t="str">
        <f>AM114</f>
        <v/>
      </c>
      <c r="AN115" s="54"/>
      <c r="AO115" s="267"/>
      <c r="AP115" s="242" t="str">
        <f t="shared" si="22"/>
        <v/>
      </c>
      <c r="AQ115" s="242" t="str">
        <f t="shared" ref="AQ115:AV115" si="159">IF(F115="",AP115,F115)</f>
        <v/>
      </c>
      <c r="AR115" s="242" t="str">
        <f t="shared" si="159"/>
        <v/>
      </c>
      <c r="AS115" s="242" t="str">
        <f t="shared" si="159"/>
        <v/>
      </c>
      <c r="AT115" s="242" t="str">
        <f t="shared" si="159"/>
        <v/>
      </c>
      <c r="AU115" s="242" t="str">
        <f t="shared" si="159"/>
        <v/>
      </c>
      <c r="AV115" s="242" t="str">
        <f t="shared" si="159"/>
        <v/>
      </c>
      <c r="AW115" s="268" t="str">
        <f t="shared" si="30"/>
        <v/>
      </c>
      <c r="AX115" s="269"/>
      <c r="AY115" s="270"/>
      <c r="AZ115" s="271"/>
      <c r="BA115" s="246"/>
      <c r="BB115" s="246"/>
      <c r="BC115" s="263"/>
      <c r="BD115" s="66"/>
      <c r="BE115" s="69"/>
      <c r="BF115" s="54"/>
      <c r="BG115" s="54"/>
      <c r="BH115" s="54"/>
      <c r="BI115" s="54"/>
      <c r="BK115" s="173"/>
      <c r="BM115" s="173"/>
      <c r="BN115" s="175"/>
      <c r="BO115" s="253"/>
      <c r="BP115" s="250" t="str">
        <f t="shared" si="36"/>
        <v/>
      </c>
      <c r="BQ115" s="175"/>
      <c r="BR115" s="250"/>
      <c r="BS115" s="250" t="str">
        <f t="shared" si="15"/>
        <v/>
      </c>
      <c r="BT115" s="250" t="str">
        <f t="shared" si="37"/>
        <v/>
      </c>
      <c r="BU115" s="253" t="str">
        <f t="shared" si="33"/>
        <v/>
      </c>
      <c r="BV115" s="254" t="b">
        <f t="shared" si="17"/>
        <v>0</v>
      </c>
      <c r="BW115" s="175" t="str">
        <f t="shared" si="38"/>
        <v/>
      </c>
      <c r="BX115" s="44" t="b">
        <f t="shared" si="19"/>
        <v>0</v>
      </c>
      <c r="BY115" s="202" t="b">
        <f t="shared" si="20"/>
        <v>0</v>
      </c>
      <c r="BZ115" s="203">
        <f t="shared" si="25"/>
        <v>0</v>
      </c>
      <c r="CA115" s="175">
        <f t="shared" si="26"/>
        <v>0</v>
      </c>
      <c r="CB115" s="175"/>
      <c r="CC115" s="173"/>
      <c r="CD115" s="173"/>
    </row>
    <row r="116" ht="15.75" customHeight="1">
      <c r="A116" s="11"/>
      <c r="B116" s="221" t="str">
        <f>IF(B114="","",B114+7)</f>
        <v/>
      </c>
      <c r="C116" s="222"/>
      <c r="D116" s="223" t="str">
        <f t="shared" si="27"/>
        <v>Weight</v>
      </c>
      <c r="E116" s="272"/>
      <c r="F116" s="273"/>
      <c r="G116" s="274"/>
      <c r="H116" s="274"/>
      <c r="I116" s="274"/>
      <c r="J116" s="274"/>
      <c r="K116" s="274"/>
      <c r="L116" s="284" t="str">
        <f t="shared" si="6"/>
        <v/>
      </c>
      <c r="M116" s="227"/>
      <c r="N116" s="302"/>
      <c r="O116" s="302"/>
      <c r="P116" s="302"/>
      <c r="Q116" s="276" t="str">
        <f>BL116</f>
        <v/>
      </c>
      <c r="R116" s="228"/>
      <c r="S116" s="230" t="str">
        <f>IFERROR(__xludf.DUMMYFUNCTION("IF(L116="""","""",(L116-index(filter($L$36:L114,$L$36:L114&lt;&gt;"""",ISEVEN(row($L$36:L114))),count(filter($L$36:L114,$L$36:L114&lt;&gt;"""",iseven(row($L$36:L114)))),1)))"),"")</f>
        <v/>
      </c>
      <c r="T116" s="231"/>
      <c r="U116" s="232" t="str">
        <f>if(BD$24=FALSE,"",IF(L116="","",BC116))</f>
        <v/>
      </c>
      <c r="V116" s="301"/>
      <c r="W116" s="234">
        <f>IF(count(S116:S117)&gt;1,1,0)</f>
        <v>0</v>
      </c>
      <c r="X116" s="235" t="str">
        <f>if(Y116="","","Week 41")</f>
        <v/>
      </c>
      <c r="Y116" s="236" t="str">
        <f>IF(S116="","",text(B116,"MMM-YY"))</f>
        <v/>
      </c>
      <c r="Z116" s="173"/>
      <c r="AA116" s="173"/>
      <c r="AC116" s="173"/>
      <c r="AD116" s="173"/>
      <c r="AE116" s="173"/>
      <c r="AF116" s="173"/>
      <c r="AG116" s="173"/>
      <c r="AH116" s="173"/>
      <c r="AI116" s="173"/>
      <c r="AJ116" s="296">
        <f>AJ114+1</f>
        <v>41</v>
      </c>
      <c r="AK116" s="277">
        <v>40.0</v>
      </c>
      <c r="AL116" s="54">
        <f t="shared" si="10"/>
        <v>0</v>
      </c>
      <c r="AM116" s="198" t="str">
        <f>IF(K116="",AM114,K116)</f>
        <v/>
      </c>
      <c r="AN116" s="54"/>
      <c r="AO116" s="241"/>
      <c r="AP116" s="242" t="str">
        <f t="shared" si="22"/>
        <v/>
      </c>
      <c r="AQ116" s="242" t="str">
        <f t="shared" ref="AQ116:AV116" si="160">IF(F116="",AP116,F116)</f>
        <v/>
      </c>
      <c r="AR116" s="242" t="str">
        <f t="shared" si="160"/>
        <v/>
      </c>
      <c r="AS116" s="242" t="str">
        <f t="shared" si="160"/>
        <v/>
      </c>
      <c r="AT116" s="242" t="str">
        <f t="shared" si="160"/>
        <v/>
      </c>
      <c r="AU116" s="242" t="str">
        <f t="shared" si="160"/>
        <v/>
      </c>
      <c r="AV116" s="242" t="str">
        <f t="shared" si="160"/>
        <v/>
      </c>
      <c r="AW116" s="278" t="str">
        <f t="shared" si="30"/>
        <v/>
      </c>
      <c r="AX116" s="244">
        <f>if(AND(AW116=AX$34,$AL116&gt;0),ROW(),0)</f>
        <v>0</v>
      </c>
      <c r="AY116" s="244">
        <f>if(AND(AW116=AY$34,$AL116&gt;0),ROW(),0)</f>
        <v>0</v>
      </c>
      <c r="AZ116" s="279" t="str">
        <f>IF(AW116="","",AW116-AW114)</f>
        <v/>
      </c>
      <c r="BA116" s="246">
        <f>if(BB116&gt;0,row(),0)</f>
        <v>116</v>
      </c>
      <c r="BB116" s="246">
        <f>max(if(E116=AW$30,COLUMN(E116),0),if(F116=AW$30,COLUMN(F116),0),if(G116=AW$30,COLUMN(G116),0),if(H116=AW$30,COLUMN(H116),0),if(I116=AW$30,COLUMN(I116),0),if(J116=AW$30,COLUMN(J116),0),if(K116=AW$30,COLUMN(K116),0))</f>
        <v>11</v>
      </c>
      <c r="BC116" s="247" t="str">
        <f>IF(BD116="","",IF(AZ116="","",BD116))</f>
        <v/>
      </c>
      <c r="BD116" s="248">
        <f>IF(AL116=0,BD114,IF(AL117=0,BD114,((AW117+(((-AZ116)*$BD$7)/AL117)+sum($BE$38:BE114))/AK116)))</f>
        <v>0</v>
      </c>
      <c r="BE116" s="249">
        <f>IF(AL116=0,BE114,IF(AL117=0,BE114,AW117+(((-AZ116)*$BD$7)/AL117)))</f>
        <v>0</v>
      </c>
      <c r="BF116" s="54"/>
      <c r="BG116" s="54"/>
      <c r="BH116" s="54"/>
      <c r="BI116" s="54"/>
      <c r="BJ116" s="173" t="str">
        <f>text(B116,"YYYY MMM")</f>
        <v/>
      </c>
      <c r="BK116" s="173"/>
      <c r="BL116" s="174" t="str">
        <f>if($G$13="Disable","", if($G$9="","",if(and($G$9="Male",count($N116:$O116)&lt;&gt;2),"",
if(and($G$9="Male",count($N116:$O116)=2),round(if($N116="","",
     if($G$14="cm",86.01*log($N116-$O116)-70.041*log($G$15)+30.3,
     if($G$14="inch",86.01*log(($N116-$O116)*2.54)-70.041*log($G$15*2.54)+30.3))),0),                                         
if(and($G$9="Female",count($N116:$P116)&lt;&gt;3),"",
if(and($G$9="Female",count($N116:$P116)=3),round(if($N116="","",
        if($G$14="cm",495/(1.29579-0.35004*log10($N116+$P116-$O116)+0.221 * log10($G$15))-450,
        if($G$14="inch",495/(1.29579-0.35004*log10(($N116+$P116-$O116)*2.54)+0.221 * log10($G$15*2.54))-450))),0)))))))</f>
        <v/>
      </c>
      <c r="BM116" s="173"/>
      <c r="BN116" s="175"/>
      <c r="BO116" s="175"/>
      <c r="BP116" s="250" t="str">
        <f t="shared" si="36"/>
        <v/>
      </c>
      <c r="BQ116" s="175"/>
      <c r="BR116" s="250"/>
      <c r="BS116" s="250" t="str">
        <f t="shared" si="15"/>
        <v/>
      </c>
      <c r="BT116" s="250" t="str">
        <f t="shared" si="37"/>
        <v/>
      </c>
      <c r="BU116" s="253" t="str">
        <f t="shared" si="33"/>
        <v/>
      </c>
      <c r="BV116" s="254" t="b">
        <f t="shared" si="17"/>
        <v>0</v>
      </c>
      <c r="BW116" s="175" t="str">
        <f t="shared" si="38"/>
        <v/>
      </c>
      <c r="BX116" s="44" t="b">
        <f t="shared" si="19"/>
        <v>0</v>
      </c>
      <c r="BY116" s="202" t="b">
        <f t="shared" si="20"/>
        <v>0</v>
      </c>
      <c r="BZ116" s="203">
        <f t="shared" si="25"/>
        <v>0</v>
      </c>
      <c r="CA116" s="175">
        <f t="shared" si="26"/>
        <v>0</v>
      </c>
      <c r="CB116" s="175"/>
      <c r="CC116" s="173"/>
      <c r="CD116" s="173"/>
    </row>
    <row r="117" ht="15.75" customHeight="1">
      <c r="A117" s="11"/>
      <c r="B117" s="255"/>
      <c r="C117" s="256"/>
      <c r="D117" s="257" t="str">
        <f t="shared" si="27"/>
        <v>Calories</v>
      </c>
      <c r="E117" s="258"/>
      <c r="F117" s="280"/>
      <c r="G117" s="259"/>
      <c r="H117" s="259"/>
      <c r="I117" s="259"/>
      <c r="J117" s="259"/>
      <c r="K117" s="259"/>
      <c r="L117" s="260" t="str">
        <f t="shared" si="6"/>
        <v/>
      </c>
      <c r="M117" s="261"/>
      <c r="N117" s="255"/>
      <c r="O117" s="255"/>
      <c r="P117" s="255"/>
      <c r="Q117" s="255"/>
      <c r="R117" s="255"/>
      <c r="S117" s="255"/>
      <c r="T117" s="231"/>
      <c r="U117" s="255"/>
      <c r="V117" s="301"/>
      <c r="W117" s="262"/>
      <c r="X117" s="262"/>
      <c r="Y117" s="263"/>
      <c r="Z117" s="173"/>
      <c r="AA117" s="173"/>
      <c r="AC117" s="173"/>
      <c r="AD117" s="173"/>
      <c r="AE117" s="173"/>
      <c r="AF117" s="173"/>
      <c r="AG117" s="173"/>
      <c r="AH117" s="173"/>
      <c r="AI117" s="173"/>
      <c r="AJ117" s="296">
        <f>AJ116+0.5</f>
        <v>41.5</v>
      </c>
      <c r="AK117" s="69"/>
      <c r="AL117" s="54">
        <f t="shared" si="10"/>
        <v>0</v>
      </c>
      <c r="AM117" s="183" t="str">
        <f>AM116</f>
        <v/>
      </c>
      <c r="AN117" s="54"/>
      <c r="AO117" s="267"/>
      <c r="AP117" s="242" t="str">
        <f t="shared" si="22"/>
        <v/>
      </c>
      <c r="AQ117" s="242" t="str">
        <f t="shared" ref="AQ117:AV117" si="161">IF(F117="",AP117,F117)</f>
        <v/>
      </c>
      <c r="AR117" s="242" t="str">
        <f t="shared" si="161"/>
        <v/>
      </c>
      <c r="AS117" s="242" t="str">
        <f t="shared" si="161"/>
        <v/>
      </c>
      <c r="AT117" s="242" t="str">
        <f t="shared" si="161"/>
        <v/>
      </c>
      <c r="AU117" s="242" t="str">
        <f t="shared" si="161"/>
        <v/>
      </c>
      <c r="AV117" s="242" t="str">
        <f t="shared" si="161"/>
        <v/>
      </c>
      <c r="AW117" s="268" t="str">
        <f t="shared" si="30"/>
        <v/>
      </c>
      <c r="AX117" s="269"/>
      <c r="AY117" s="270"/>
      <c r="AZ117" s="271"/>
      <c r="BA117" s="246"/>
      <c r="BB117" s="246"/>
      <c r="BC117" s="263"/>
      <c r="BD117" s="66"/>
      <c r="BE117" s="69"/>
      <c r="BF117" s="54"/>
      <c r="BG117" s="54"/>
      <c r="BH117" s="54"/>
      <c r="BI117" s="54"/>
      <c r="BK117" s="173"/>
      <c r="BM117" s="173"/>
      <c r="BN117" s="175"/>
      <c r="BO117" s="175"/>
      <c r="BP117" s="250" t="str">
        <f t="shared" si="36"/>
        <v/>
      </c>
      <c r="BQ117" s="175"/>
      <c r="BR117" s="250"/>
      <c r="BS117" s="250" t="str">
        <f t="shared" si="15"/>
        <v/>
      </c>
      <c r="BT117" s="250" t="str">
        <f t="shared" si="37"/>
        <v/>
      </c>
      <c r="BU117" s="253" t="str">
        <f t="shared" si="33"/>
        <v/>
      </c>
      <c r="BV117" s="254" t="b">
        <f t="shared" si="17"/>
        <v>0</v>
      </c>
      <c r="BW117" s="175" t="str">
        <f t="shared" si="38"/>
        <v/>
      </c>
      <c r="BX117" s="44" t="b">
        <f t="shared" si="19"/>
        <v>0</v>
      </c>
      <c r="BY117" s="202" t="b">
        <f t="shared" si="20"/>
        <v>0</v>
      </c>
      <c r="BZ117" s="203">
        <f t="shared" si="25"/>
        <v>0</v>
      </c>
      <c r="CA117" s="175">
        <f t="shared" si="26"/>
        <v>0</v>
      </c>
      <c r="CB117" s="175"/>
      <c r="CC117" s="173"/>
      <c r="CD117" s="173"/>
    </row>
    <row r="118" ht="15.75" customHeight="1">
      <c r="A118" s="11"/>
      <c r="B118" s="221" t="str">
        <f>IF(B116="","",B116+7)</f>
        <v/>
      </c>
      <c r="C118" s="222"/>
      <c r="D118" s="223" t="str">
        <f t="shared" si="27"/>
        <v>Weight</v>
      </c>
      <c r="E118" s="282"/>
      <c r="F118" s="274"/>
      <c r="G118" s="274"/>
      <c r="H118" s="297"/>
      <c r="I118" s="297"/>
      <c r="J118" s="297"/>
      <c r="K118" s="297"/>
      <c r="L118" s="284" t="str">
        <f t="shared" si="6"/>
        <v/>
      </c>
      <c r="M118" s="227"/>
      <c r="N118" s="302"/>
      <c r="O118" s="302"/>
      <c r="P118" s="302"/>
      <c r="Q118" s="276" t="str">
        <f>BL118</f>
        <v/>
      </c>
      <c r="R118" s="228"/>
      <c r="S118" s="230" t="str">
        <f>IFERROR(__xludf.DUMMYFUNCTION("IF(L118="""","""",(L118-index(filter($L$36:L116,$L$36:L116&lt;&gt;"""",ISEVEN(row($L$36:L116))),count(filter($L$36:L116,$L$36:L116&lt;&gt;"""",iseven(row($L$36:L116)))),1)))"),"")</f>
        <v/>
      </c>
      <c r="T118" s="231"/>
      <c r="U118" s="232" t="str">
        <f>if(BD$24=FALSE,"",IF(L118="","",BC118))</f>
        <v/>
      </c>
      <c r="V118" s="301"/>
      <c r="W118" s="234">
        <f>IF(count(S118:S119)&gt;1,1,0)</f>
        <v>0</v>
      </c>
      <c r="X118" s="235" t="str">
        <f>if(Y118="","","Week 42")</f>
        <v/>
      </c>
      <c r="Y118" s="236" t="str">
        <f>IF(S118="","",text(B118,"MMM-YY"))</f>
        <v/>
      </c>
      <c r="Z118" s="173"/>
      <c r="AA118" s="173"/>
      <c r="AC118" s="173"/>
      <c r="AD118" s="173"/>
      <c r="AE118" s="173"/>
      <c r="AF118" s="173"/>
      <c r="AG118" s="173"/>
      <c r="AH118" s="173"/>
      <c r="AI118" s="173"/>
      <c r="AJ118" s="296">
        <f>AJ116+1</f>
        <v>42</v>
      </c>
      <c r="AK118" s="277">
        <v>41.0</v>
      </c>
      <c r="AL118" s="54">
        <f t="shared" si="10"/>
        <v>0</v>
      </c>
      <c r="AM118" s="198" t="str">
        <f>IF(K118="",AM116,K118)</f>
        <v/>
      </c>
      <c r="AN118" s="54"/>
      <c r="AO118" s="241"/>
      <c r="AP118" s="242" t="str">
        <f t="shared" si="22"/>
        <v/>
      </c>
      <c r="AQ118" s="242" t="str">
        <f t="shared" ref="AQ118:AV118" si="162">IF(F118="",AP118,F118)</f>
        <v/>
      </c>
      <c r="AR118" s="242" t="str">
        <f t="shared" si="162"/>
        <v/>
      </c>
      <c r="AS118" s="242" t="str">
        <f t="shared" si="162"/>
        <v/>
      </c>
      <c r="AT118" s="242" t="str">
        <f t="shared" si="162"/>
        <v/>
      </c>
      <c r="AU118" s="242" t="str">
        <f t="shared" si="162"/>
        <v/>
      </c>
      <c r="AV118" s="242" t="str">
        <f t="shared" si="162"/>
        <v/>
      </c>
      <c r="AW118" s="278" t="str">
        <f t="shared" si="30"/>
        <v/>
      </c>
      <c r="AX118" s="244">
        <f>if(AND(AW118=AX$34,$AL118&gt;0),ROW(),0)</f>
        <v>0</v>
      </c>
      <c r="AY118" s="244">
        <f>if(AND(AW118=AY$34,$AL118&gt;0),ROW(),0)</f>
        <v>0</v>
      </c>
      <c r="AZ118" s="279" t="str">
        <f>IF(AW118="","",AW118-AW116)</f>
        <v/>
      </c>
      <c r="BA118" s="246">
        <f>if(BB118&gt;0,row(),0)</f>
        <v>118</v>
      </c>
      <c r="BB118" s="246">
        <f>max(if(E118=AW$30,COLUMN(E118),0),if(F118=AW$30,COLUMN(F118),0),if(G118=AW$30,COLUMN(G118),0),if(H118=AW$30,COLUMN(H118),0),if(I118=AW$30,COLUMN(I118),0),if(J118=AW$30,COLUMN(J118),0),if(K118=AW$30,COLUMN(K118),0))</f>
        <v>11</v>
      </c>
      <c r="BC118" s="247" t="str">
        <f>IF(BD118="","",IF(AZ118="","",BD118))</f>
        <v/>
      </c>
      <c r="BD118" s="248">
        <f>IF(AL118=0,BD116,IF(AL119=0,BD116,((AW119+(((-AZ118)*$BD$7)/AL119)+sum($BE$38:BE116))/AK118)))</f>
        <v>0</v>
      </c>
      <c r="BE118" s="249">
        <f>IF(AL118=0,BE116,IF(AL119=0,BE116,AW119+(((-AZ118)*$BD$7)/AL119)))</f>
        <v>0</v>
      </c>
      <c r="BF118" s="54"/>
      <c r="BG118" s="54"/>
      <c r="BH118" s="54"/>
      <c r="BI118" s="54"/>
      <c r="BJ118" s="173" t="str">
        <f>text(B118,"YYYY MMM")</f>
        <v/>
      </c>
      <c r="BK118" s="173"/>
      <c r="BL118" s="174" t="str">
        <f>if($G$13="Disable","", if($G$9="","",if(and($G$9="Male",count($N118:$O118)&lt;&gt;2),"",
if(and($G$9="Male",count($N118:$O118)=2),round(if($N118="","",
     if($G$14="cm",86.01*log($N118-$O118)-70.041*log($G$15)+30.3,
     if($G$14="inch",86.01*log(($N118-$O118)*2.54)-70.041*log($G$15*2.54)+30.3))),0),                                         
if(and($G$9="Female",count($N118:$P118)&lt;&gt;3),"",
if(and($G$9="Female",count($N118:$P118)=3),round(if($N118="","",
        if($G$14="cm",495/(1.29579-0.35004*log10($N118+$P118-$O118)+0.221 * log10($G$15))-450,
        if($G$14="inch",495/(1.29579-0.35004*log10(($N118+$P118-$O118)*2.54)+0.221 * log10($G$15*2.54))-450))),0)))))))</f>
        <v/>
      </c>
      <c r="BM118" s="173"/>
      <c r="BN118" s="175"/>
      <c r="BO118" s="175"/>
      <c r="BP118" s="250" t="str">
        <f t="shared" si="36"/>
        <v/>
      </c>
      <c r="BQ118" s="175"/>
      <c r="BR118" s="250"/>
      <c r="BS118" s="250" t="str">
        <f t="shared" si="15"/>
        <v/>
      </c>
      <c r="BT118" s="250" t="str">
        <f t="shared" si="37"/>
        <v/>
      </c>
      <c r="BU118" s="253" t="str">
        <f t="shared" si="33"/>
        <v/>
      </c>
      <c r="BV118" s="254" t="b">
        <f t="shared" si="17"/>
        <v>0</v>
      </c>
      <c r="BW118" s="175" t="str">
        <f t="shared" si="38"/>
        <v/>
      </c>
      <c r="BX118" s="44" t="b">
        <f t="shared" si="19"/>
        <v>0</v>
      </c>
      <c r="BY118" s="202" t="b">
        <f t="shared" si="20"/>
        <v>0</v>
      </c>
      <c r="BZ118" s="203">
        <f t="shared" si="25"/>
        <v>0</v>
      </c>
      <c r="CA118" s="175">
        <f t="shared" si="26"/>
        <v>0</v>
      </c>
      <c r="CB118" s="175"/>
      <c r="CC118" s="173"/>
      <c r="CD118" s="173"/>
    </row>
    <row r="119" ht="15.75" customHeight="1">
      <c r="A119" s="11"/>
      <c r="B119" s="255"/>
      <c r="C119" s="256"/>
      <c r="D119" s="257" t="str">
        <f t="shared" si="27"/>
        <v>Calories</v>
      </c>
      <c r="E119" s="285"/>
      <c r="F119" s="259"/>
      <c r="G119" s="298"/>
      <c r="H119" s="299"/>
      <c r="I119" s="299"/>
      <c r="J119" s="299"/>
      <c r="K119" s="299"/>
      <c r="L119" s="260" t="str">
        <f t="shared" si="6"/>
        <v/>
      </c>
      <c r="M119" s="261"/>
      <c r="N119" s="255"/>
      <c r="O119" s="255"/>
      <c r="P119" s="255"/>
      <c r="Q119" s="255"/>
      <c r="R119" s="255"/>
      <c r="S119" s="255"/>
      <c r="T119" s="231"/>
      <c r="U119" s="255"/>
      <c r="V119" s="301"/>
      <c r="W119" s="262"/>
      <c r="X119" s="262"/>
      <c r="Y119" s="263"/>
      <c r="Z119" s="173"/>
      <c r="AA119" s="173"/>
      <c r="AC119" s="173"/>
      <c r="AD119" s="173"/>
      <c r="AE119" s="173"/>
      <c r="AF119" s="173"/>
      <c r="AG119" s="173"/>
      <c r="AH119" s="173"/>
      <c r="AI119" s="173"/>
      <c r="AJ119" s="296">
        <f>AJ118+0.5</f>
        <v>42.5</v>
      </c>
      <c r="AK119" s="69"/>
      <c r="AL119" s="54">
        <f t="shared" si="10"/>
        <v>0</v>
      </c>
      <c r="AM119" s="183" t="str">
        <f>AM118</f>
        <v/>
      </c>
      <c r="AN119" s="54"/>
      <c r="AO119" s="267"/>
      <c r="AP119" s="242" t="str">
        <f t="shared" si="22"/>
        <v/>
      </c>
      <c r="AQ119" s="242" t="str">
        <f t="shared" ref="AQ119:AV119" si="163">IF(F119="",AP119,F119)</f>
        <v/>
      </c>
      <c r="AR119" s="242" t="str">
        <f t="shared" si="163"/>
        <v/>
      </c>
      <c r="AS119" s="242" t="str">
        <f t="shared" si="163"/>
        <v/>
      </c>
      <c r="AT119" s="242" t="str">
        <f t="shared" si="163"/>
        <v/>
      </c>
      <c r="AU119" s="242" t="str">
        <f t="shared" si="163"/>
        <v/>
      </c>
      <c r="AV119" s="242" t="str">
        <f t="shared" si="163"/>
        <v/>
      </c>
      <c r="AW119" s="268" t="str">
        <f t="shared" si="30"/>
        <v/>
      </c>
      <c r="AX119" s="269"/>
      <c r="AY119" s="270"/>
      <c r="AZ119" s="271"/>
      <c r="BA119" s="246"/>
      <c r="BB119" s="246"/>
      <c r="BC119" s="263"/>
      <c r="BD119" s="66"/>
      <c r="BE119" s="69"/>
      <c r="BF119" s="54"/>
      <c r="BG119" s="54"/>
      <c r="BH119" s="54"/>
      <c r="BI119" s="54"/>
      <c r="BK119" s="173"/>
      <c r="BM119" s="173"/>
      <c r="BN119" s="175"/>
      <c r="BO119" s="175"/>
      <c r="BP119" s="250" t="str">
        <f t="shared" si="36"/>
        <v/>
      </c>
      <c r="BQ119" s="175"/>
      <c r="BR119" s="250"/>
      <c r="BS119" s="250" t="str">
        <f t="shared" si="15"/>
        <v/>
      </c>
      <c r="BT119" s="250" t="str">
        <f t="shared" si="37"/>
        <v/>
      </c>
      <c r="BU119" s="253" t="str">
        <f t="shared" si="33"/>
        <v/>
      </c>
      <c r="BV119" s="254" t="b">
        <f t="shared" si="17"/>
        <v>0</v>
      </c>
      <c r="BW119" s="175" t="str">
        <f t="shared" si="38"/>
        <v/>
      </c>
      <c r="BX119" s="44" t="b">
        <f t="shared" si="19"/>
        <v>0</v>
      </c>
      <c r="BY119" s="202" t="b">
        <f t="shared" si="20"/>
        <v>0</v>
      </c>
      <c r="BZ119" s="203">
        <f t="shared" si="25"/>
        <v>0</v>
      </c>
      <c r="CA119" s="175">
        <f t="shared" si="26"/>
        <v>0</v>
      </c>
      <c r="CB119" s="175"/>
      <c r="CC119" s="173"/>
      <c r="CD119" s="173"/>
    </row>
    <row r="120" ht="15.75" customHeight="1">
      <c r="A120" s="11"/>
      <c r="B120" s="221" t="str">
        <f>IF(B118="","",B118+7)</f>
        <v/>
      </c>
      <c r="C120" s="222"/>
      <c r="D120" s="223" t="str">
        <f t="shared" si="27"/>
        <v>Weight</v>
      </c>
      <c r="E120" s="224"/>
      <c r="F120" s="300"/>
      <c r="G120" s="225"/>
      <c r="H120" s="225"/>
      <c r="I120" s="225"/>
      <c r="J120" s="225"/>
      <c r="K120" s="225"/>
      <c r="L120" s="284" t="str">
        <f t="shared" si="6"/>
        <v/>
      </c>
      <c r="M120" s="227"/>
      <c r="N120" s="302"/>
      <c r="O120" s="302"/>
      <c r="P120" s="302"/>
      <c r="Q120" s="276" t="str">
        <f>BL120</f>
        <v/>
      </c>
      <c r="R120" s="228"/>
      <c r="S120" s="230" t="str">
        <f>IFERROR(__xludf.DUMMYFUNCTION("IF(L120="""","""",(L120-index(filter($L$36:L118,$L$36:L118&lt;&gt;"""",ISEVEN(row($L$36:L118))),count(filter($L$36:L118,$L$36:L118&lt;&gt;"""",iseven(row($L$36:L118)))),1)))"),"")</f>
        <v/>
      </c>
      <c r="T120" s="231"/>
      <c r="U120" s="232" t="str">
        <f>if(BD$24=FALSE,"",IF(L120="","",BC120))</f>
        <v/>
      </c>
      <c r="V120" s="301"/>
      <c r="W120" s="234">
        <f>IF(count(S120:S121)&gt;1,1,0)</f>
        <v>0</v>
      </c>
      <c r="X120" s="235" t="str">
        <f>if(Y120="","","Week 43")</f>
        <v/>
      </c>
      <c r="Y120" s="236" t="str">
        <f>IF(S120="","",text(B120,"MMM-YY"))</f>
        <v/>
      </c>
      <c r="Z120" s="173"/>
      <c r="AA120" s="173"/>
      <c r="AC120" s="173"/>
      <c r="AD120" s="173"/>
      <c r="AE120" s="173"/>
      <c r="AF120" s="173"/>
      <c r="AG120" s="173"/>
      <c r="AH120" s="173"/>
      <c r="AI120" s="173"/>
      <c r="AJ120" s="296">
        <f>AJ118+1</f>
        <v>43</v>
      </c>
      <c r="AK120" s="277">
        <v>42.0</v>
      </c>
      <c r="AL120" s="54">
        <f t="shared" si="10"/>
        <v>0</v>
      </c>
      <c r="AM120" s="198" t="str">
        <f>IF(K120="",AM118,K120)</f>
        <v/>
      </c>
      <c r="AN120" s="54"/>
      <c r="AO120" s="241"/>
      <c r="AP120" s="242" t="str">
        <f t="shared" si="22"/>
        <v/>
      </c>
      <c r="AQ120" s="242" t="str">
        <f t="shared" ref="AQ120:AV120" si="164">IF(F120="",AP120,F120)</f>
        <v/>
      </c>
      <c r="AR120" s="242" t="str">
        <f t="shared" si="164"/>
        <v/>
      </c>
      <c r="AS120" s="242" t="str">
        <f t="shared" si="164"/>
        <v/>
      </c>
      <c r="AT120" s="242" t="str">
        <f t="shared" si="164"/>
        <v/>
      </c>
      <c r="AU120" s="242" t="str">
        <f t="shared" si="164"/>
        <v/>
      </c>
      <c r="AV120" s="242" t="str">
        <f t="shared" si="164"/>
        <v/>
      </c>
      <c r="AW120" s="278" t="str">
        <f t="shared" si="30"/>
        <v/>
      </c>
      <c r="AX120" s="244">
        <f>if(AND(AW120=AX$34,$AL120&gt;0),ROW(),0)</f>
        <v>0</v>
      </c>
      <c r="AY120" s="244">
        <f>if(AND(AW120=AY$34,$AL120&gt;0),ROW(),0)</f>
        <v>0</v>
      </c>
      <c r="AZ120" s="279" t="str">
        <f>IF(AW120="","",AW120-AW118)</f>
        <v/>
      </c>
      <c r="BA120" s="246">
        <f>if(BB120&gt;0,row(),0)</f>
        <v>120</v>
      </c>
      <c r="BB120" s="246">
        <f>max(if(E120=AW$30,COLUMN(E120),0),if(F120=AW$30,COLUMN(F120),0),if(G120=AW$30,COLUMN(G120),0),if(H120=AW$30,COLUMN(H120),0),if(I120=AW$30,COLUMN(I120),0),if(J120=AW$30,COLUMN(J120),0),if(K120=AW$30,COLUMN(K120),0))</f>
        <v>11</v>
      </c>
      <c r="BC120" s="247" t="str">
        <f>IF(BD120="","",IF(AZ120="","",BD120))</f>
        <v/>
      </c>
      <c r="BD120" s="248">
        <f>IF(AL120=0,BD118,IF(AL121=0,BD118,((AW121+(((-AZ120)*$BD$7)/AL121)+sum($BE$38:BE118))/AK120)))</f>
        <v>0</v>
      </c>
      <c r="BE120" s="249">
        <f>IF(AL120=0,BE118,IF(AL121=0,BE118,AW121+(((-AZ120)*$BD$7)/AL121)))</f>
        <v>0</v>
      </c>
      <c r="BF120" s="54"/>
      <c r="BG120" s="54"/>
      <c r="BH120" s="54"/>
      <c r="BI120" s="54"/>
      <c r="BJ120" s="173" t="str">
        <f>text(B120,"YYYY MMM")</f>
        <v/>
      </c>
      <c r="BK120" s="173"/>
      <c r="BL120" s="174" t="str">
        <f>if($G$13="Disable","", if($G$9="","",if(and($G$9="Male",count($N120:$O120)&lt;&gt;2),"",
if(and($G$9="Male",count($N120:$O120)=2),round(if($N120="","",
     if($G$14="cm",86.01*log($N120-$O120)-70.041*log($G$15)+30.3,
     if($G$14="inch",86.01*log(($N120-$O120)*2.54)-70.041*log($G$15*2.54)+30.3))),0),                                         
if(and($G$9="Female",count($N120:$P120)&lt;&gt;3),"",
if(and($G$9="Female",count($N120:$P120)=3),round(if($N120="","",
        if($G$14="cm",495/(1.29579-0.35004*log10($N120+$P120-$O120)+0.221 * log10($G$15))-450,
        if($G$14="inch",495/(1.29579-0.35004*log10(($N120+$P120-$O120)*2.54)+0.221 * log10($G$15*2.54))-450))),0)))))))</f>
        <v/>
      </c>
      <c r="BM120" s="173"/>
      <c r="BN120" s="175"/>
      <c r="BO120" s="175"/>
      <c r="BP120" s="250" t="str">
        <f t="shared" si="36"/>
        <v/>
      </c>
      <c r="BQ120" s="175"/>
      <c r="BR120" s="250"/>
      <c r="BS120" s="250" t="str">
        <f t="shared" si="15"/>
        <v/>
      </c>
      <c r="BT120" s="250" t="str">
        <f t="shared" si="37"/>
        <v/>
      </c>
      <c r="BU120" s="253" t="str">
        <f t="shared" si="33"/>
        <v/>
      </c>
      <c r="BV120" s="254" t="b">
        <f t="shared" si="17"/>
        <v>0</v>
      </c>
      <c r="BW120" s="175" t="str">
        <f t="shared" si="38"/>
        <v/>
      </c>
      <c r="BX120" s="44" t="b">
        <f t="shared" si="19"/>
        <v>0</v>
      </c>
      <c r="BY120" s="202" t="b">
        <f t="shared" si="20"/>
        <v>0</v>
      </c>
      <c r="BZ120" s="203">
        <f t="shared" si="25"/>
        <v>0</v>
      </c>
      <c r="CA120" s="175">
        <f t="shared" si="26"/>
        <v>0</v>
      </c>
      <c r="CB120" s="175"/>
      <c r="CC120" s="173"/>
      <c r="CD120" s="173"/>
    </row>
    <row r="121" ht="15.75" customHeight="1">
      <c r="A121" s="11"/>
      <c r="B121" s="255"/>
      <c r="C121" s="256"/>
      <c r="D121" s="257" t="str">
        <f t="shared" si="27"/>
        <v>Calories</v>
      </c>
      <c r="E121" s="258"/>
      <c r="F121" s="280"/>
      <c r="G121" s="259"/>
      <c r="H121" s="259"/>
      <c r="I121" s="259"/>
      <c r="J121" s="259"/>
      <c r="K121" s="259"/>
      <c r="L121" s="260" t="str">
        <f t="shared" si="6"/>
        <v/>
      </c>
      <c r="M121" s="261"/>
      <c r="N121" s="255"/>
      <c r="O121" s="255"/>
      <c r="P121" s="255"/>
      <c r="Q121" s="255"/>
      <c r="R121" s="255"/>
      <c r="S121" s="255"/>
      <c r="T121" s="231"/>
      <c r="U121" s="255"/>
      <c r="V121" s="301"/>
      <c r="W121" s="262"/>
      <c r="X121" s="262"/>
      <c r="Y121" s="263"/>
      <c r="Z121" s="173"/>
      <c r="AA121" s="173"/>
      <c r="AC121" s="173"/>
      <c r="AD121" s="173"/>
      <c r="AE121" s="173"/>
      <c r="AF121" s="173"/>
      <c r="AG121" s="173"/>
      <c r="AH121" s="173"/>
      <c r="AI121" s="173"/>
      <c r="AJ121" s="296">
        <f>AJ120+0.5</f>
        <v>43.5</v>
      </c>
      <c r="AK121" s="69"/>
      <c r="AL121" s="54">
        <f t="shared" si="10"/>
        <v>0</v>
      </c>
      <c r="AM121" s="183" t="str">
        <f>AM120</f>
        <v/>
      </c>
      <c r="AN121" s="54"/>
      <c r="AO121" s="267"/>
      <c r="AP121" s="242" t="str">
        <f t="shared" si="22"/>
        <v/>
      </c>
      <c r="AQ121" s="242" t="str">
        <f t="shared" ref="AQ121:AV121" si="165">IF(F121="",AP121,F121)</f>
        <v/>
      </c>
      <c r="AR121" s="242" t="str">
        <f t="shared" si="165"/>
        <v/>
      </c>
      <c r="AS121" s="242" t="str">
        <f t="shared" si="165"/>
        <v/>
      </c>
      <c r="AT121" s="242" t="str">
        <f t="shared" si="165"/>
        <v/>
      </c>
      <c r="AU121" s="242" t="str">
        <f t="shared" si="165"/>
        <v/>
      </c>
      <c r="AV121" s="242" t="str">
        <f t="shared" si="165"/>
        <v/>
      </c>
      <c r="AW121" s="268" t="str">
        <f t="shared" si="30"/>
        <v/>
      </c>
      <c r="AX121" s="269"/>
      <c r="AY121" s="270"/>
      <c r="AZ121" s="271"/>
      <c r="BA121" s="246"/>
      <c r="BB121" s="246"/>
      <c r="BC121" s="263"/>
      <c r="BD121" s="66"/>
      <c r="BE121" s="69"/>
      <c r="BF121" s="54"/>
      <c r="BG121" s="54"/>
      <c r="BH121" s="54"/>
      <c r="BI121" s="54"/>
      <c r="BK121" s="173"/>
      <c r="BM121" s="173"/>
      <c r="BN121" s="175"/>
      <c r="BO121" s="175"/>
      <c r="BP121" s="250" t="str">
        <f t="shared" si="36"/>
        <v/>
      </c>
      <c r="BQ121" s="175"/>
      <c r="BR121" s="250"/>
      <c r="BS121" s="250" t="str">
        <f t="shared" si="15"/>
        <v/>
      </c>
      <c r="BT121" s="250" t="str">
        <f t="shared" si="37"/>
        <v/>
      </c>
      <c r="BU121" s="253" t="str">
        <f t="shared" si="33"/>
        <v/>
      </c>
      <c r="BV121" s="254" t="b">
        <f t="shared" si="17"/>
        <v>0</v>
      </c>
      <c r="BW121" s="175" t="str">
        <f t="shared" si="38"/>
        <v/>
      </c>
      <c r="BX121" s="44" t="b">
        <f t="shared" si="19"/>
        <v>0</v>
      </c>
      <c r="BY121" s="202" t="b">
        <f t="shared" si="20"/>
        <v>0</v>
      </c>
      <c r="BZ121" s="203">
        <f t="shared" si="25"/>
        <v>0</v>
      </c>
      <c r="CA121" s="175">
        <f t="shared" si="26"/>
        <v>0</v>
      </c>
      <c r="CB121" s="175"/>
      <c r="CC121" s="173"/>
      <c r="CD121" s="173"/>
    </row>
    <row r="122" ht="15.75" customHeight="1">
      <c r="A122" s="11"/>
      <c r="B122" s="221" t="str">
        <f>IF(B120="","",B120+7)</f>
        <v/>
      </c>
      <c r="C122" s="222"/>
      <c r="D122" s="223" t="str">
        <f t="shared" si="27"/>
        <v>Weight</v>
      </c>
      <c r="E122" s="303"/>
      <c r="F122" s="289"/>
      <c r="G122" s="288"/>
      <c r="H122" s="288"/>
      <c r="I122" s="288"/>
      <c r="J122" s="274"/>
      <c r="K122" s="274"/>
      <c r="L122" s="284" t="str">
        <f t="shared" si="6"/>
        <v/>
      </c>
      <c r="M122" s="227"/>
      <c r="N122" s="302"/>
      <c r="O122" s="302"/>
      <c r="P122" s="302"/>
      <c r="Q122" s="276" t="str">
        <f>BL122</f>
        <v/>
      </c>
      <c r="R122" s="228"/>
      <c r="S122" s="230" t="str">
        <f>IFERROR(__xludf.DUMMYFUNCTION("IF(L122="""","""",(L122-index(filter($L$36:L120,$L$36:L120&lt;&gt;"""",ISEVEN(row($L$36:L120))),count(filter($L$36:L120,$L$36:L120&lt;&gt;"""",iseven(row($L$36:L120)))),1)))"),"")</f>
        <v/>
      </c>
      <c r="T122" s="231"/>
      <c r="U122" s="232" t="str">
        <f>if(BD$24=FALSE,"",IF(L122="","",BC122))</f>
        <v/>
      </c>
      <c r="V122" s="301"/>
      <c r="W122" s="234">
        <f>IF(count(S122:S123)&gt;1,1,0)</f>
        <v>0</v>
      </c>
      <c r="X122" s="235" t="str">
        <f>if(Y122="","","Week 44")</f>
        <v/>
      </c>
      <c r="Y122" s="236" t="str">
        <f>IF(S122="","",text(B122,"MMM-YY"))</f>
        <v/>
      </c>
      <c r="Z122" s="173"/>
      <c r="AA122" s="173"/>
      <c r="AC122" s="173"/>
      <c r="AD122" s="173"/>
      <c r="AE122" s="173"/>
      <c r="AF122" s="173"/>
      <c r="AG122" s="173"/>
      <c r="AH122" s="173"/>
      <c r="AI122" s="173"/>
      <c r="AJ122" s="296">
        <f>AJ120+1</f>
        <v>44</v>
      </c>
      <c r="AK122" s="277">
        <v>43.0</v>
      </c>
      <c r="AL122" s="54">
        <f t="shared" si="10"/>
        <v>0</v>
      </c>
      <c r="AM122" s="198" t="str">
        <f>IF(K122="",AM120,K122)</f>
        <v/>
      </c>
      <c r="AN122" s="54"/>
      <c r="AO122" s="241"/>
      <c r="AP122" s="242" t="str">
        <f t="shared" si="22"/>
        <v/>
      </c>
      <c r="AQ122" s="242" t="str">
        <f t="shared" ref="AQ122:AV122" si="166">IF(F122="",AP122,F122)</f>
        <v/>
      </c>
      <c r="AR122" s="242" t="str">
        <f t="shared" si="166"/>
        <v/>
      </c>
      <c r="AS122" s="242" t="str">
        <f t="shared" si="166"/>
        <v/>
      </c>
      <c r="AT122" s="242" t="str">
        <f t="shared" si="166"/>
        <v/>
      </c>
      <c r="AU122" s="242" t="str">
        <f t="shared" si="166"/>
        <v/>
      </c>
      <c r="AV122" s="242" t="str">
        <f t="shared" si="166"/>
        <v/>
      </c>
      <c r="AW122" s="278" t="str">
        <f t="shared" si="30"/>
        <v/>
      </c>
      <c r="AX122" s="244">
        <f>if(AND(AW122=AX$34,$AL122&gt;0),ROW(),0)</f>
        <v>0</v>
      </c>
      <c r="AY122" s="244">
        <f>if(AND(AW122=AY$34,$AL122&gt;0),ROW(),0)</f>
        <v>0</v>
      </c>
      <c r="AZ122" s="279" t="str">
        <f>IF(AW122="","",AW122-AW120)</f>
        <v/>
      </c>
      <c r="BA122" s="246">
        <f>if(BB122&gt;0,row(),0)</f>
        <v>122</v>
      </c>
      <c r="BB122" s="246">
        <f>max(if(E122=AW$30,COLUMN(E122),0),if(F122=AW$30,COLUMN(F122),0),if(G122=AW$30,COLUMN(G122),0),if(H122=AW$30,COLUMN(H122),0),if(I122=AW$30,COLUMN(I122),0),if(J122=AW$30,COLUMN(J122),0),if(K122=AW$30,COLUMN(K122),0))</f>
        <v>11</v>
      </c>
      <c r="BC122" s="247" t="str">
        <f>IF(BD122="","",IF(AZ122="","",BD122))</f>
        <v/>
      </c>
      <c r="BD122" s="248">
        <f>IF(AL122=0,BD120,IF(AL123=0,BD120,((AW123+(((-AZ122)*$BD$7)/AL123)+sum($BE$38:BE120))/AK122)))</f>
        <v>0</v>
      </c>
      <c r="BE122" s="249">
        <f>IF(AL122=0,BE120,IF(AL123=0,BE120,AW123+(((-AZ122)*$BD$7)/AL123)))</f>
        <v>0</v>
      </c>
      <c r="BF122" s="54"/>
      <c r="BG122" s="54"/>
      <c r="BH122" s="54"/>
      <c r="BI122" s="54"/>
      <c r="BJ122" s="173" t="str">
        <f>text(B122,"YYYY MMM")</f>
        <v/>
      </c>
      <c r="BK122" s="173"/>
      <c r="BL122" s="174" t="str">
        <f>if($G$13="Disable","", if($G$9="","",if(and($G$9="Male",count($N122:$O122)&lt;&gt;2),"",
if(and($G$9="Male",count($N122:$O122)=2),round(if($N122="","",
     if($G$14="cm",86.01*log($N122-$O122)-70.041*log($G$15)+30.3,
     if($G$14="inch",86.01*log(($N122-$O122)*2.54)-70.041*log($G$15*2.54)+30.3))),0),                                         
if(and($G$9="Female",count($N122:$P122)&lt;&gt;3),"",
if(and($G$9="Female",count($N122:$P122)=3),round(if($N122="","",
        if($G$14="cm",495/(1.29579-0.35004*log10($N122+$P122-$O122)+0.221 * log10($G$15))-450,
        if($G$14="inch",495/(1.29579-0.35004*log10(($N122+$P122-$O122)*2.54)+0.221 * log10($G$15*2.54))-450))),0)))))))</f>
        <v/>
      </c>
      <c r="BM122" s="173"/>
      <c r="BN122" s="175"/>
      <c r="BO122" s="175"/>
      <c r="BP122" s="250" t="str">
        <f t="shared" si="36"/>
        <v/>
      </c>
      <c r="BQ122" s="175"/>
      <c r="BR122" s="250"/>
      <c r="BS122" s="250" t="str">
        <f t="shared" si="15"/>
        <v/>
      </c>
      <c r="BT122" s="250" t="str">
        <f t="shared" si="37"/>
        <v/>
      </c>
      <c r="BU122" s="253" t="str">
        <f t="shared" si="33"/>
        <v/>
      </c>
      <c r="BV122" s="254" t="b">
        <f t="shared" si="17"/>
        <v>0</v>
      </c>
      <c r="BW122" s="175" t="str">
        <f t="shared" si="38"/>
        <v/>
      </c>
      <c r="BX122" s="44" t="b">
        <f t="shared" si="19"/>
        <v>0</v>
      </c>
      <c r="BY122" s="202" t="b">
        <f t="shared" si="20"/>
        <v>0</v>
      </c>
      <c r="BZ122" s="203">
        <f t="shared" si="25"/>
        <v>0</v>
      </c>
      <c r="CA122" s="175">
        <f t="shared" si="26"/>
        <v>0</v>
      </c>
      <c r="CB122" s="175"/>
      <c r="CC122" s="173"/>
      <c r="CD122" s="173"/>
    </row>
    <row r="123" ht="15.75" customHeight="1">
      <c r="A123" s="11"/>
      <c r="B123" s="255"/>
      <c r="C123" s="256"/>
      <c r="D123" s="257" t="str">
        <f t="shared" si="27"/>
        <v>Calories</v>
      </c>
      <c r="E123" s="304"/>
      <c r="F123" s="292"/>
      <c r="G123" s="291"/>
      <c r="H123" s="291"/>
      <c r="I123" s="291"/>
      <c r="J123" s="259"/>
      <c r="K123" s="259"/>
      <c r="L123" s="260" t="str">
        <f t="shared" si="6"/>
        <v/>
      </c>
      <c r="M123" s="261"/>
      <c r="N123" s="255"/>
      <c r="O123" s="255"/>
      <c r="P123" s="255"/>
      <c r="Q123" s="255"/>
      <c r="R123" s="255"/>
      <c r="S123" s="255"/>
      <c r="T123" s="231"/>
      <c r="U123" s="255"/>
      <c r="V123" s="301"/>
      <c r="W123" s="262"/>
      <c r="X123" s="262"/>
      <c r="Y123" s="263"/>
      <c r="Z123" s="173"/>
      <c r="AA123" s="173"/>
      <c r="AC123" s="173"/>
      <c r="AD123" s="173"/>
      <c r="AE123" s="173"/>
      <c r="AF123" s="173"/>
      <c r="AG123" s="173"/>
      <c r="AH123" s="173"/>
      <c r="AI123" s="173"/>
      <c r="AJ123" s="296">
        <f>AJ122+0.5</f>
        <v>44.5</v>
      </c>
      <c r="AK123" s="69"/>
      <c r="AL123" s="54">
        <f t="shared" si="10"/>
        <v>0</v>
      </c>
      <c r="AM123" s="183" t="str">
        <f>AM122</f>
        <v/>
      </c>
      <c r="AN123" s="54"/>
      <c r="AO123" s="267"/>
      <c r="AP123" s="242" t="str">
        <f t="shared" si="22"/>
        <v/>
      </c>
      <c r="AQ123" s="242" t="str">
        <f t="shared" ref="AQ123:AV123" si="167">IF(F123="",AP123,F123)</f>
        <v/>
      </c>
      <c r="AR123" s="242" t="str">
        <f t="shared" si="167"/>
        <v/>
      </c>
      <c r="AS123" s="242" t="str">
        <f t="shared" si="167"/>
        <v/>
      </c>
      <c r="AT123" s="242" t="str">
        <f t="shared" si="167"/>
        <v/>
      </c>
      <c r="AU123" s="242" t="str">
        <f t="shared" si="167"/>
        <v/>
      </c>
      <c r="AV123" s="242" t="str">
        <f t="shared" si="167"/>
        <v/>
      </c>
      <c r="AW123" s="268" t="str">
        <f t="shared" si="30"/>
        <v/>
      </c>
      <c r="AX123" s="269"/>
      <c r="AY123" s="270"/>
      <c r="AZ123" s="271"/>
      <c r="BA123" s="246"/>
      <c r="BB123" s="246"/>
      <c r="BC123" s="263"/>
      <c r="BD123" s="66"/>
      <c r="BE123" s="69"/>
      <c r="BF123" s="54"/>
      <c r="BG123" s="54"/>
      <c r="BH123" s="54"/>
      <c r="BI123" s="54"/>
      <c r="BK123" s="173"/>
      <c r="BM123" s="173"/>
      <c r="BN123" s="175"/>
      <c r="BO123" s="175"/>
      <c r="BP123" s="250" t="str">
        <f t="shared" si="36"/>
        <v/>
      </c>
      <c r="BQ123" s="175"/>
      <c r="BR123" s="250"/>
      <c r="BS123" s="250" t="str">
        <f t="shared" si="15"/>
        <v/>
      </c>
      <c r="BT123" s="250" t="str">
        <f t="shared" si="37"/>
        <v/>
      </c>
      <c r="BU123" s="253" t="str">
        <f t="shared" si="33"/>
        <v/>
      </c>
      <c r="BV123" s="254" t="b">
        <f t="shared" si="17"/>
        <v>0</v>
      </c>
      <c r="BW123" s="175" t="str">
        <f t="shared" si="38"/>
        <v/>
      </c>
      <c r="BX123" s="44" t="b">
        <f t="shared" si="19"/>
        <v>0</v>
      </c>
      <c r="BY123" s="202" t="b">
        <f t="shared" si="20"/>
        <v>0</v>
      </c>
      <c r="BZ123" s="203">
        <f t="shared" si="25"/>
        <v>0</v>
      </c>
      <c r="CA123" s="175">
        <f t="shared" si="26"/>
        <v>0</v>
      </c>
      <c r="CB123" s="175"/>
      <c r="CC123" s="173"/>
      <c r="CD123" s="173"/>
    </row>
    <row r="124" ht="15.75" customHeight="1">
      <c r="A124" s="11"/>
      <c r="B124" s="221" t="str">
        <f>IF(B122="","",B122+7)</f>
        <v/>
      </c>
      <c r="C124" s="222"/>
      <c r="D124" s="223" t="str">
        <f t="shared" si="27"/>
        <v>Weight</v>
      </c>
      <c r="E124" s="272"/>
      <c r="F124" s="273"/>
      <c r="G124" s="274"/>
      <c r="H124" s="274"/>
      <c r="I124" s="274"/>
      <c r="J124" s="274"/>
      <c r="K124" s="274"/>
      <c r="L124" s="284" t="str">
        <f t="shared" si="6"/>
        <v/>
      </c>
      <c r="M124" s="227"/>
      <c r="N124" s="302"/>
      <c r="O124" s="302"/>
      <c r="P124" s="302"/>
      <c r="Q124" s="276" t="str">
        <f>BL124</f>
        <v/>
      </c>
      <c r="R124" s="228"/>
      <c r="S124" s="230" t="str">
        <f>IFERROR(__xludf.DUMMYFUNCTION("IF(L124="""","""",(L124-index(filter($L$36:L122,$L$36:L122&lt;&gt;"""",ISEVEN(row($L$36:L122))),count(filter($L$36:L122,$L$36:L122&lt;&gt;"""",iseven(row($L$36:L122)))),1)))"),"")</f>
        <v/>
      </c>
      <c r="T124" s="231"/>
      <c r="U124" s="232" t="str">
        <f>if(BD$24=FALSE,"",IF(L124="","",BC124))</f>
        <v/>
      </c>
      <c r="V124" s="301"/>
      <c r="W124" s="234">
        <f>IF(count(S124:S125)&gt;1,1,0)</f>
        <v>0</v>
      </c>
      <c r="X124" s="235" t="str">
        <f>if(Y124="","","Week 45")</f>
        <v/>
      </c>
      <c r="Y124" s="236" t="str">
        <f>IF(S124="","",text(B124,"MMM-YY"))</f>
        <v/>
      </c>
      <c r="Z124" s="173"/>
      <c r="AA124" s="173"/>
      <c r="AC124" s="173"/>
      <c r="AD124" s="173"/>
      <c r="AE124" s="173"/>
      <c r="AF124" s="173"/>
      <c r="AG124" s="173"/>
      <c r="AH124" s="173"/>
      <c r="AI124" s="173"/>
      <c r="AJ124" s="296">
        <f>AJ122+1</f>
        <v>45</v>
      </c>
      <c r="AK124" s="277">
        <v>44.0</v>
      </c>
      <c r="AL124" s="54">
        <f t="shared" si="10"/>
        <v>0</v>
      </c>
      <c r="AM124" s="198" t="str">
        <f>IF(K124="",AM122,K124)</f>
        <v/>
      </c>
      <c r="AN124" s="54"/>
      <c r="AO124" s="241"/>
      <c r="AP124" s="242" t="str">
        <f t="shared" si="22"/>
        <v/>
      </c>
      <c r="AQ124" s="242" t="str">
        <f t="shared" ref="AQ124:AV124" si="168">IF(F124="",AP124,F124)</f>
        <v/>
      </c>
      <c r="AR124" s="242" t="str">
        <f t="shared" si="168"/>
        <v/>
      </c>
      <c r="AS124" s="242" t="str">
        <f t="shared" si="168"/>
        <v/>
      </c>
      <c r="AT124" s="242" t="str">
        <f t="shared" si="168"/>
        <v/>
      </c>
      <c r="AU124" s="242" t="str">
        <f t="shared" si="168"/>
        <v/>
      </c>
      <c r="AV124" s="242" t="str">
        <f t="shared" si="168"/>
        <v/>
      </c>
      <c r="AW124" s="278" t="str">
        <f t="shared" si="30"/>
        <v/>
      </c>
      <c r="AX124" s="244">
        <f>if(AND(AW124=AX$34,$AL124&gt;0),ROW(),0)</f>
        <v>0</v>
      </c>
      <c r="AY124" s="244">
        <f>if(AND(AW124=AY$34,$AL124&gt;0),ROW(),0)</f>
        <v>0</v>
      </c>
      <c r="AZ124" s="279" t="str">
        <f>IF(AW124="","",AW124-AW122)</f>
        <v/>
      </c>
      <c r="BA124" s="246">
        <f>if(BB124&gt;0,row(),0)</f>
        <v>124</v>
      </c>
      <c r="BB124" s="246">
        <f>max(if(E124=AW$30,COLUMN(E124),0),if(F124=AW$30,COLUMN(F124),0),if(G124=AW$30,COLUMN(G124),0),if(H124=AW$30,COLUMN(H124),0),if(I124=AW$30,COLUMN(I124),0),if(J124=AW$30,COLUMN(J124),0),if(K124=AW$30,COLUMN(K124),0))</f>
        <v>11</v>
      </c>
      <c r="BC124" s="247" t="str">
        <f>IF(BD124="","",IF(AZ124="","",BD124))</f>
        <v/>
      </c>
      <c r="BD124" s="248">
        <f>IF(AL124=0,BD122,IF(AL125=0,BD122,((AW125+(((-AZ124)*$BD$7)/AL125)+sum($BE$38:BE122))/AK124)))</f>
        <v>0</v>
      </c>
      <c r="BE124" s="249">
        <f>IF(AL124=0,BE122,IF(AL125=0,BE122,AW125+(((-AZ124)*$BD$7)/AL125)))</f>
        <v>0</v>
      </c>
      <c r="BF124" s="54"/>
      <c r="BG124" s="54"/>
      <c r="BH124" s="54"/>
      <c r="BI124" s="54"/>
      <c r="BJ124" s="173" t="str">
        <f>text(B124,"YYYY MMM")</f>
        <v/>
      </c>
      <c r="BK124" s="173"/>
      <c r="BL124" s="174" t="str">
        <f>if($G$13="Disable","", if($G$9="","",if(and($G$9="Male",count($N124:$O124)&lt;&gt;2),"",
if(and($G$9="Male",count($N124:$O124)=2),round(if($N124="","",
     if($G$14="cm",86.01*log($N124-$O124)-70.041*log($G$15)+30.3,
     if($G$14="inch",86.01*log(($N124-$O124)*2.54)-70.041*log($G$15*2.54)+30.3))),0),                                         
if(and($G$9="Female",count($N124:$P124)&lt;&gt;3),"",
if(and($G$9="Female",count($N124:$P124)=3),round(if($N124="","",
        if($G$14="cm",495/(1.29579-0.35004*log10($N124+$P124-$O124)+0.221 * log10($G$15))-450,
        if($G$14="inch",495/(1.29579-0.35004*log10(($N124+$P124-$O124)*2.54)+0.221 * log10($G$15*2.54))-450))),0)))))))</f>
        <v/>
      </c>
      <c r="BM124" s="173"/>
      <c r="BN124" s="175"/>
      <c r="BO124" s="175"/>
      <c r="BP124" s="250" t="str">
        <f t="shared" si="36"/>
        <v/>
      </c>
      <c r="BQ124" s="175"/>
      <c r="BR124" s="250"/>
      <c r="BS124" s="250" t="str">
        <f t="shared" si="15"/>
        <v/>
      </c>
      <c r="BT124" s="250" t="str">
        <f t="shared" si="37"/>
        <v/>
      </c>
      <c r="BU124" s="253" t="str">
        <f t="shared" si="33"/>
        <v/>
      </c>
      <c r="BV124" s="254" t="b">
        <f t="shared" si="17"/>
        <v>0</v>
      </c>
      <c r="BW124" s="175" t="str">
        <f t="shared" si="38"/>
        <v/>
      </c>
      <c r="BX124" s="44" t="b">
        <f t="shared" si="19"/>
        <v>0</v>
      </c>
      <c r="BY124" s="202" t="b">
        <f t="shared" si="20"/>
        <v>0</v>
      </c>
      <c r="BZ124" s="203">
        <f t="shared" si="25"/>
        <v>0</v>
      </c>
      <c r="CA124" s="175">
        <f t="shared" si="26"/>
        <v>0</v>
      </c>
      <c r="CB124" s="175"/>
      <c r="CC124" s="173"/>
      <c r="CD124" s="173"/>
    </row>
    <row r="125" ht="15.75" customHeight="1">
      <c r="A125" s="11"/>
      <c r="B125" s="255"/>
      <c r="C125" s="256"/>
      <c r="D125" s="257" t="str">
        <f t="shared" si="27"/>
        <v>Calories</v>
      </c>
      <c r="E125" s="258"/>
      <c r="F125" s="280"/>
      <c r="G125" s="259"/>
      <c r="H125" s="259"/>
      <c r="I125" s="259"/>
      <c r="J125" s="259"/>
      <c r="K125" s="259"/>
      <c r="L125" s="260" t="str">
        <f t="shared" si="6"/>
        <v/>
      </c>
      <c r="M125" s="261"/>
      <c r="N125" s="255"/>
      <c r="O125" s="255"/>
      <c r="P125" s="255"/>
      <c r="Q125" s="255"/>
      <c r="R125" s="255"/>
      <c r="S125" s="255"/>
      <c r="T125" s="231"/>
      <c r="U125" s="255"/>
      <c r="V125" s="301"/>
      <c r="W125" s="262"/>
      <c r="X125" s="262"/>
      <c r="Y125" s="263"/>
      <c r="Z125" s="173"/>
      <c r="AA125" s="173"/>
      <c r="AB125" s="173"/>
      <c r="AC125" s="173"/>
      <c r="AD125" s="173"/>
      <c r="AE125" s="173"/>
      <c r="AF125" s="173"/>
      <c r="AG125" s="173"/>
      <c r="AH125" s="173"/>
      <c r="AI125" s="173"/>
      <c r="AJ125" s="296">
        <f>AJ124+0.5</f>
        <v>45.5</v>
      </c>
      <c r="AK125" s="69"/>
      <c r="AL125" s="54">
        <f t="shared" si="10"/>
        <v>0</v>
      </c>
      <c r="AM125" s="183" t="str">
        <f>AM124</f>
        <v/>
      </c>
      <c r="AN125" s="54"/>
      <c r="AO125" s="267"/>
      <c r="AP125" s="242" t="str">
        <f t="shared" si="22"/>
        <v/>
      </c>
      <c r="AQ125" s="242" t="str">
        <f t="shared" ref="AQ125:AV125" si="169">IF(F125="",AP125,F125)</f>
        <v/>
      </c>
      <c r="AR125" s="242" t="str">
        <f t="shared" si="169"/>
        <v/>
      </c>
      <c r="AS125" s="242" t="str">
        <f t="shared" si="169"/>
        <v/>
      </c>
      <c r="AT125" s="242" t="str">
        <f t="shared" si="169"/>
        <v/>
      </c>
      <c r="AU125" s="242" t="str">
        <f t="shared" si="169"/>
        <v/>
      </c>
      <c r="AV125" s="242" t="str">
        <f t="shared" si="169"/>
        <v/>
      </c>
      <c r="AW125" s="268" t="str">
        <f t="shared" si="30"/>
        <v/>
      </c>
      <c r="AX125" s="269"/>
      <c r="AY125" s="270"/>
      <c r="AZ125" s="271"/>
      <c r="BA125" s="246"/>
      <c r="BB125" s="246"/>
      <c r="BC125" s="263"/>
      <c r="BD125" s="66"/>
      <c r="BE125" s="69"/>
      <c r="BF125" s="54"/>
      <c r="BG125" s="54"/>
      <c r="BH125" s="54"/>
      <c r="BI125" s="54"/>
      <c r="BK125" s="173"/>
      <c r="BM125" s="173"/>
      <c r="BN125" s="175"/>
      <c r="BO125" s="175"/>
      <c r="BP125" s="250" t="str">
        <f t="shared" si="36"/>
        <v/>
      </c>
      <c r="BQ125" s="175"/>
      <c r="BR125" s="250"/>
      <c r="BS125" s="250" t="str">
        <f t="shared" si="15"/>
        <v/>
      </c>
      <c r="BT125" s="250" t="str">
        <f t="shared" si="37"/>
        <v/>
      </c>
      <c r="BU125" s="253" t="str">
        <f t="shared" si="33"/>
        <v/>
      </c>
      <c r="BV125" s="254" t="b">
        <f t="shared" si="17"/>
        <v>0</v>
      </c>
      <c r="BW125" s="175" t="str">
        <f t="shared" si="38"/>
        <v/>
      </c>
      <c r="BX125" s="44" t="b">
        <f t="shared" si="19"/>
        <v>0</v>
      </c>
      <c r="BY125" s="202" t="b">
        <f t="shared" si="20"/>
        <v>0</v>
      </c>
      <c r="BZ125" s="203">
        <f t="shared" si="25"/>
        <v>0</v>
      </c>
      <c r="CA125" s="175">
        <f t="shared" si="26"/>
        <v>0</v>
      </c>
      <c r="CB125" s="175"/>
      <c r="CC125" s="173"/>
      <c r="CD125" s="173"/>
    </row>
    <row r="126" ht="15.75" customHeight="1">
      <c r="A126" s="11"/>
      <c r="B126" s="221" t="str">
        <f>IF(B124="","",B124+7)</f>
        <v/>
      </c>
      <c r="C126" s="222"/>
      <c r="D126" s="223" t="str">
        <f t="shared" si="27"/>
        <v>Weight</v>
      </c>
      <c r="E126" s="272"/>
      <c r="F126" s="273"/>
      <c r="G126" s="274"/>
      <c r="H126" s="274"/>
      <c r="I126" s="274"/>
      <c r="J126" s="274"/>
      <c r="K126" s="274"/>
      <c r="L126" s="284" t="str">
        <f t="shared" si="6"/>
        <v/>
      </c>
      <c r="M126" s="227"/>
      <c r="N126" s="302"/>
      <c r="O126" s="302"/>
      <c r="P126" s="302"/>
      <c r="Q126" s="276" t="str">
        <f>BL126</f>
        <v/>
      </c>
      <c r="R126" s="228"/>
      <c r="S126" s="230" t="str">
        <f>IFERROR(__xludf.DUMMYFUNCTION("IF(L126="""","""",(L126-index(filter($L$36:L124,$L$36:L124&lt;&gt;"""",ISEVEN(row($L$36:L124))),count(filter($L$36:L124,$L$36:L124&lt;&gt;"""",iseven(row($L$36:L124)))),1)))"),"")</f>
        <v/>
      </c>
      <c r="T126" s="231"/>
      <c r="U126" s="232" t="str">
        <f>if(BD$24=FALSE,"",IF(L126="","",BC126))</f>
        <v/>
      </c>
      <c r="V126" s="301"/>
      <c r="W126" s="234">
        <f>IF(count(S126:S127)&gt;1,1,0)</f>
        <v>0</v>
      </c>
      <c r="X126" s="235" t="str">
        <f>if(Y126="","","Week 46")</f>
        <v/>
      </c>
      <c r="Y126" s="236" t="str">
        <f>IF(S126="","",text(B126,"MMM-YY"))</f>
        <v/>
      </c>
      <c r="Z126" s="173"/>
      <c r="AA126" s="173"/>
      <c r="AB126" s="173"/>
      <c r="AC126" s="173"/>
      <c r="AD126" s="173"/>
      <c r="AE126" s="173"/>
      <c r="AF126" s="173"/>
      <c r="AG126" s="173"/>
      <c r="AH126" s="173"/>
      <c r="AI126" s="173"/>
      <c r="AJ126" s="296">
        <f>AJ124+1</f>
        <v>46</v>
      </c>
      <c r="AK126" s="277">
        <v>45.0</v>
      </c>
      <c r="AL126" s="54">
        <f t="shared" si="10"/>
        <v>0</v>
      </c>
      <c r="AM126" s="198" t="str">
        <f>IF(K126="",AM124,K126)</f>
        <v/>
      </c>
      <c r="AN126" s="54"/>
      <c r="AO126" s="241"/>
      <c r="AP126" s="242" t="str">
        <f t="shared" si="22"/>
        <v/>
      </c>
      <c r="AQ126" s="242" t="str">
        <f t="shared" ref="AQ126:AV126" si="170">IF(F126="",AP126,F126)</f>
        <v/>
      </c>
      <c r="AR126" s="242" t="str">
        <f t="shared" si="170"/>
        <v/>
      </c>
      <c r="AS126" s="242" t="str">
        <f t="shared" si="170"/>
        <v/>
      </c>
      <c r="AT126" s="242" t="str">
        <f t="shared" si="170"/>
        <v/>
      </c>
      <c r="AU126" s="242" t="str">
        <f t="shared" si="170"/>
        <v/>
      </c>
      <c r="AV126" s="242" t="str">
        <f t="shared" si="170"/>
        <v/>
      </c>
      <c r="AW126" s="278" t="str">
        <f t="shared" si="30"/>
        <v/>
      </c>
      <c r="AX126" s="244">
        <f>if(AND(AW126=AX$34,$AL126&gt;0),ROW(),0)</f>
        <v>0</v>
      </c>
      <c r="AY126" s="244">
        <f>if(AND(AW126=AY$34,$AL126&gt;0),ROW(),0)</f>
        <v>0</v>
      </c>
      <c r="AZ126" s="279" t="str">
        <f>IF(AW126="","",AW126-AW124)</f>
        <v/>
      </c>
      <c r="BA126" s="246">
        <f>if(BB126&gt;0,row(),0)</f>
        <v>126</v>
      </c>
      <c r="BB126" s="246">
        <f>max(if(E126=AW$30,COLUMN(E126),0),if(F126=AW$30,COLUMN(F126),0),if(G126=AW$30,COLUMN(G126),0),if(H126=AW$30,COLUMN(H126),0),if(I126=AW$30,COLUMN(I126),0),if(J126=AW$30,COLUMN(J126),0),if(K126=AW$30,COLUMN(K126),0))</f>
        <v>11</v>
      </c>
      <c r="BC126" s="247" t="str">
        <f>IF(BD126="","",IF(AZ126="","",BD126))</f>
        <v/>
      </c>
      <c r="BD126" s="248">
        <f>IF(AL126=0,BD124,IF(AL127=0,BD124,((AW127+(((-AZ126)*$BD$7)/AL127)+sum($BE$38:BE124))/AK126)))</f>
        <v>0</v>
      </c>
      <c r="BE126" s="249">
        <f>IF(AL126=0,BE124,IF(AL127=0,BE124,AW127+(((-AZ126)*$BD$7)/AL127)))</f>
        <v>0</v>
      </c>
      <c r="BF126" s="54"/>
      <c r="BG126" s="54"/>
      <c r="BH126" s="54"/>
      <c r="BI126" s="54"/>
      <c r="BJ126" s="173" t="str">
        <f>text(B126,"YYYY MMM")</f>
        <v/>
      </c>
      <c r="BK126" s="173"/>
      <c r="BL126" s="174" t="str">
        <f>if($G$13="Disable","", if($G$9="","",if(and($G$9="Male",count($N126:$O126)&lt;&gt;2),"",
if(and($G$9="Male",count($N126:$O126)=2),round(if($N126="","",
     if($G$14="cm",86.01*log($N126-$O126)-70.041*log($G$15)+30.3,
     if($G$14="inch",86.01*log(($N126-$O126)*2.54)-70.041*log($G$15*2.54)+30.3))),0),                                         
if(and($G$9="Female",count($N126:$P126)&lt;&gt;3),"",
if(and($G$9="Female",count($N126:$P126)=3),round(if($N126="","",
        if($G$14="cm",495/(1.29579-0.35004*log10($N126+$P126-$O126)+0.221 * log10($G$15))-450,
        if($G$14="inch",495/(1.29579-0.35004*log10(($N126+$P126-$O126)*2.54)+0.221 * log10($G$15*2.54))-450))),0)))))))</f>
        <v/>
      </c>
      <c r="BM126" s="173"/>
      <c r="BN126" s="175"/>
      <c r="BO126" s="175"/>
      <c r="BP126" s="250" t="str">
        <f t="shared" si="36"/>
        <v/>
      </c>
      <c r="BQ126" s="175"/>
      <c r="BR126" s="250"/>
      <c r="BS126" s="250" t="str">
        <f t="shared" si="15"/>
        <v/>
      </c>
      <c r="BT126" s="250" t="str">
        <f t="shared" si="37"/>
        <v/>
      </c>
      <c r="BU126" s="253" t="str">
        <f t="shared" si="33"/>
        <v/>
      </c>
      <c r="BV126" s="254" t="b">
        <f t="shared" si="17"/>
        <v>0</v>
      </c>
      <c r="BW126" s="175" t="str">
        <f t="shared" si="38"/>
        <v/>
      </c>
      <c r="BX126" s="44" t="b">
        <f t="shared" si="19"/>
        <v>0</v>
      </c>
      <c r="BY126" s="202" t="b">
        <f t="shared" si="20"/>
        <v>0</v>
      </c>
      <c r="BZ126" s="203">
        <f t="shared" si="25"/>
        <v>0</v>
      </c>
      <c r="CA126" s="175">
        <f t="shared" si="26"/>
        <v>0</v>
      </c>
      <c r="CB126" s="175"/>
      <c r="CC126" s="173"/>
      <c r="CD126" s="173"/>
    </row>
    <row r="127" ht="15.75" customHeight="1">
      <c r="A127" s="11"/>
      <c r="B127" s="255"/>
      <c r="C127" s="256"/>
      <c r="D127" s="257" t="str">
        <f t="shared" si="27"/>
        <v>Calories</v>
      </c>
      <c r="E127" s="258"/>
      <c r="F127" s="280"/>
      <c r="G127" s="259"/>
      <c r="H127" s="259"/>
      <c r="I127" s="259"/>
      <c r="J127" s="259"/>
      <c r="K127" s="259"/>
      <c r="L127" s="260" t="str">
        <f t="shared" si="6"/>
        <v/>
      </c>
      <c r="M127" s="261"/>
      <c r="N127" s="255"/>
      <c r="O127" s="255"/>
      <c r="P127" s="255"/>
      <c r="Q127" s="255"/>
      <c r="R127" s="255"/>
      <c r="S127" s="255"/>
      <c r="T127" s="231"/>
      <c r="U127" s="255"/>
      <c r="V127" s="233"/>
      <c r="W127" s="262"/>
      <c r="X127" s="262"/>
      <c r="Y127" s="263"/>
      <c r="Z127" s="173"/>
      <c r="AA127" s="173"/>
      <c r="AB127" s="173"/>
      <c r="AC127" s="173"/>
      <c r="AD127" s="173"/>
      <c r="AE127" s="173"/>
      <c r="AF127" s="173"/>
      <c r="AG127" s="173"/>
      <c r="AH127" s="173"/>
      <c r="AI127" s="173"/>
      <c r="AJ127" s="296">
        <f>AJ126+0.5</f>
        <v>46.5</v>
      </c>
      <c r="AK127" s="69"/>
      <c r="AL127" s="54">
        <f t="shared" si="10"/>
        <v>0</v>
      </c>
      <c r="AM127" s="183" t="str">
        <f>AM126</f>
        <v/>
      </c>
      <c r="AN127" s="54"/>
      <c r="AO127" s="267"/>
      <c r="AP127" s="242" t="str">
        <f t="shared" si="22"/>
        <v/>
      </c>
      <c r="AQ127" s="242" t="str">
        <f t="shared" ref="AQ127:AV127" si="171">IF(F127="",AP127,F127)</f>
        <v/>
      </c>
      <c r="AR127" s="242" t="str">
        <f t="shared" si="171"/>
        <v/>
      </c>
      <c r="AS127" s="242" t="str">
        <f t="shared" si="171"/>
        <v/>
      </c>
      <c r="AT127" s="242" t="str">
        <f t="shared" si="171"/>
        <v/>
      </c>
      <c r="AU127" s="242" t="str">
        <f t="shared" si="171"/>
        <v/>
      </c>
      <c r="AV127" s="242" t="str">
        <f t="shared" si="171"/>
        <v/>
      </c>
      <c r="AW127" s="268" t="str">
        <f t="shared" si="30"/>
        <v/>
      </c>
      <c r="AX127" s="269"/>
      <c r="AY127" s="270"/>
      <c r="AZ127" s="271"/>
      <c r="BA127" s="246"/>
      <c r="BB127" s="246"/>
      <c r="BC127" s="263"/>
      <c r="BD127" s="66"/>
      <c r="BE127" s="69"/>
      <c r="BF127" s="54"/>
      <c r="BG127" s="54"/>
      <c r="BH127" s="54"/>
      <c r="BI127" s="54"/>
      <c r="BK127" s="173"/>
      <c r="BM127" s="173"/>
      <c r="BN127" s="175"/>
      <c r="BO127" s="175"/>
      <c r="BP127" s="250" t="str">
        <f t="shared" si="36"/>
        <v/>
      </c>
      <c r="BQ127" s="175"/>
      <c r="BR127" s="250"/>
      <c r="BS127" s="250" t="str">
        <f t="shared" si="15"/>
        <v/>
      </c>
      <c r="BT127" s="250" t="str">
        <f t="shared" si="37"/>
        <v/>
      </c>
      <c r="BU127" s="253" t="str">
        <f t="shared" si="33"/>
        <v/>
      </c>
      <c r="BV127" s="254" t="b">
        <f t="shared" si="17"/>
        <v>0</v>
      </c>
      <c r="BW127" s="175" t="str">
        <f t="shared" si="38"/>
        <v/>
      </c>
      <c r="BX127" s="44" t="b">
        <f t="shared" si="19"/>
        <v>0</v>
      </c>
      <c r="BY127" s="202" t="b">
        <f t="shared" si="20"/>
        <v>0</v>
      </c>
      <c r="BZ127" s="203">
        <f t="shared" si="25"/>
        <v>0</v>
      </c>
      <c r="CA127" s="175">
        <f t="shared" si="26"/>
        <v>0</v>
      </c>
      <c r="CB127" s="175"/>
      <c r="CC127" s="173"/>
      <c r="CD127" s="173"/>
    </row>
    <row r="128" ht="15.75" customHeight="1">
      <c r="A128" s="11"/>
      <c r="B128" s="221" t="str">
        <f>IF(B126="","",B126+7)</f>
        <v/>
      </c>
      <c r="C128" s="222"/>
      <c r="D128" s="223" t="str">
        <f t="shared" si="27"/>
        <v>Weight</v>
      </c>
      <c r="E128" s="282"/>
      <c r="F128" s="274"/>
      <c r="G128" s="274"/>
      <c r="H128" s="297"/>
      <c r="I128" s="297"/>
      <c r="J128" s="297"/>
      <c r="K128" s="297"/>
      <c r="L128" s="284" t="str">
        <f t="shared" si="6"/>
        <v/>
      </c>
      <c r="M128" s="227"/>
      <c r="N128" s="302"/>
      <c r="O128" s="302"/>
      <c r="P128" s="302"/>
      <c r="Q128" s="276" t="str">
        <f>BL128</f>
        <v/>
      </c>
      <c r="R128" s="228"/>
      <c r="S128" s="230" t="str">
        <f>IFERROR(__xludf.DUMMYFUNCTION("IF(L128="""","""",(L128-index(filter($L$36:L126,$L$36:L126&lt;&gt;"""",ISEVEN(row($L$36:L126))),count(filter($L$36:L126,$L$36:L126&lt;&gt;"""",iseven(row($L$36:L126)))),1)))"),"")</f>
        <v/>
      </c>
      <c r="T128" s="231"/>
      <c r="U128" s="232" t="str">
        <f>if(BD$24=FALSE,"",IF(L128="","",BC128))</f>
        <v/>
      </c>
      <c r="V128" s="233"/>
      <c r="W128" s="234">
        <f>IF(count(S128:S129)&gt;1,1,0)</f>
        <v>0</v>
      </c>
      <c r="X128" s="235" t="str">
        <f>if(Y128="","","Week 47")</f>
        <v/>
      </c>
      <c r="Y128" s="236" t="str">
        <f>IF(S128="","",text(B128,"MMM-YY"))</f>
        <v/>
      </c>
      <c r="Z128" s="173"/>
      <c r="AA128" s="173"/>
      <c r="AB128" s="173"/>
      <c r="AC128" s="173"/>
      <c r="AD128" s="173"/>
      <c r="AE128" s="173"/>
      <c r="AF128" s="173"/>
      <c r="AG128" s="173"/>
      <c r="AH128" s="173"/>
      <c r="AI128" s="173"/>
      <c r="AJ128" s="296">
        <f>AJ126+1</f>
        <v>47</v>
      </c>
      <c r="AK128" s="277">
        <v>46.0</v>
      </c>
      <c r="AL128" s="54">
        <f t="shared" si="10"/>
        <v>0</v>
      </c>
      <c r="AM128" s="198" t="str">
        <f>IF(K128="",AM126,K128)</f>
        <v/>
      </c>
      <c r="AN128" s="54"/>
      <c r="AO128" s="241"/>
      <c r="AP128" s="242" t="str">
        <f t="shared" si="22"/>
        <v/>
      </c>
      <c r="AQ128" s="242" t="str">
        <f t="shared" ref="AQ128:AV128" si="172">IF(F128="",AP128,F128)</f>
        <v/>
      </c>
      <c r="AR128" s="242" t="str">
        <f t="shared" si="172"/>
        <v/>
      </c>
      <c r="AS128" s="242" t="str">
        <f t="shared" si="172"/>
        <v/>
      </c>
      <c r="AT128" s="242" t="str">
        <f t="shared" si="172"/>
        <v/>
      </c>
      <c r="AU128" s="242" t="str">
        <f t="shared" si="172"/>
        <v/>
      </c>
      <c r="AV128" s="242" t="str">
        <f t="shared" si="172"/>
        <v/>
      </c>
      <c r="AW128" s="278" t="str">
        <f t="shared" si="30"/>
        <v/>
      </c>
      <c r="AX128" s="244">
        <f>if(AND(AW128=AX$34,$AL128&gt;0),ROW(),0)</f>
        <v>0</v>
      </c>
      <c r="AY128" s="244">
        <f>if(AND(AW128=AY$34,$AL128&gt;0),ROW(),0)</f>
        <v>0</v>
      </c>
      <c r="AZ128" s="279" t="str">
        <f>IF(AW128="","",AW128-AW126)</f>
        <v/>
      </c>
      <c r="BA128" s="246">
        <f>if(BB128&gt;0,row(),0)</f>
        <v>128</v>
      </c>
      <c r="BB128" s="246">
        <f>max(if(E128=AW$30,COLUMN(E128),0),if(F128=AW$30,COLUMN(F128),0),if(G128=AW$30,COLUMN(G128),0),if(H128=AW$30,COLUMN(H128),0),if(I128=AW$30,COLUMN(I128),0),if(J128=AW$30,COLUMN(J128),0),if(K128=AW$30,COLUMN(K128),0))</f>
        <v>11</v>
      </c>
      <c r="BC128" s="247" t="str">
        <f>IF(BD128="","",IF(AZ128="","",BD128))</f>
        <v/>
      </c>
      <c r="BD128" s="248">
        <f>IF(AL128=0,BD126,IF(AL129=0,BD126,((AW129+(((-AZ128)*$BD$7)/AL129)+sum($BE$38:BE126))/AK128)))</f>
        <v>0</v>
      </c>
      <c r="BE128" s="249">
        <f>IF(AL128=0,BE126,IF(AL129=0,BE126,AW129+(((-AZ128)*$BD$7)/AL129)))</f>
        <v>0</v>
      </c>
      <c r="BF128" s="54"/>
      <c r="BG128" s="54"/>
      <c r="BH128" s="54"/>
      <c r="BI128" s="54"/>
      <c r="BJ128" s="173" t="str">
        <f>text(B128,"YYYY MMM")</f>
        <v/>
      </c>
      <c r="BK128" s="173"/>
      <c r="BL128" s="174" t="str">
        <f>if($G$13="Disable","", if($G$9="","",if(and($G$9="Male",count($N128:$O128)&lt;&gt;2),"",
if(and($G$9="Male",count($N128:$O128)=2),round(if($N128="","",
     if($G$14="cm",86.01*log($N128-$O128)-70.041*log($G$15)+30.3,
     if($G$14="inch",86.01*log(($N128-$O128)*2.54)-70.041*log($G$15*2.54)+30.3))),0),                                         
if(and($G$9="Female",count($N128:$P128)&lt;&gt;3),"",
if(and($G$9="Female",count($N128:$P128)=3),round(if($N128="","",
        if($G$14="cm",495/(1.29579-0.35004*log10($N128+$P128-$O128)+0.221 * log10($G$15))-450,
        if($G$14="inch",495/(1.29579-0.35004*log10(($N128+$P128-$O128)*2.54)+0.221 * log10($G$15*2.54))-450))),0)))))))</f>
        <v/>
      </c>
      <c r="BM128" s="173"/>
      <c r="BN128" s="175"/>
      <c r="BO128" s="175"/>
      <c r="BP128" s="250" t="str">
        <f t="shared" si="36"/>
        <v/>
      </c>
      <c r="BQ128" s="175"/>
      <c r="BR128" s="250"/>
      <c r="BS128" s="250" t="str">
        <f t="shared" si="15"/>
        <v/>
      </c>
      <c r="BT128" s="250" t="str">
        <f t="shared" si="37"/>
        <v/>
      </c>
      <c r="BU128" s="253" t="str">
        <f t="shared" si="33"/>
        <v/>
      </c>
      <c r="BV128" s="254" t="b">
        <f t="shared" si="17"/>
        <v>0</v>
      </c>
      <c r="BW128" s="175" t="str">
        <f t="shared" si="38"/>
        <v/>
      </c>
      <c r="BX128" s="44" t="b">
        <f t="shared" si="19"/>
        <v>0</v>
      </c>
      <c r="BY128" s="202" t="b">
        <f t="shared" si="20"/>
        <v>0</v>
      </c>
      <c r="BZ128" s="203">
        <f t="shared" si="25"/>
        <v>0</v>
      </c>
      <c r="CA128" s="175">
        <f t="shared" si="26"/>
        <v>0</v>
      </c>
      <c r="CB128" s="175"/>
      <c r="CC128" s="173"/>
      <c r="CD128" s="173"/>
    </row>
    <row r="129" ht="15.75" customHeight="1">
      <c r="A129" s="11"/>
      <c r="B129" s="255"/>
      <c r="C129" s="256"/>
      <c r="D129" s="257" t="str">
        <f t="shared" si="27"/>
        <v>Calories</v>
      </c>
      <c r="E129" s="285"/>
      <c r="F129" s="259"/>
      <c r="G129" s="298"/>
      <c r="H129" s="299"/>
      <c r="I129" s="299"/>
      <c r="J129" s="299"/>
      <c r="K129" s="299"/>
      <c r="L129" s="260" t="str">
        <f t="shared" si="6"/>
        <v/>
      </c>
      <c r="M129" s="261"/>
      <c r="N129" s="255"/>
      <c r="O129" s="255"/>
      <c r="P129" s="255"/>
      <c r="Q129" s="255"/>
      <c r="R129" s="255"/>
      <c r="S129" s="255"/>
      <c r="T129" s="231"/>
      <c r="U129" s="255"/>
      <c r="V129" s="233"/>
      <c r="W129" s="262"/>
      <c r="X129" s="262"/>
      <c r="Y129" s="263"/>
      <c r="Z129" s="173"/>
      <c r="AA129" s="173"/>
      <c r="AB129" s="173"/>
      <c r="AC129" s="173"/>
      <c r="AD129" s="173"/>
      <c r="AE129" s="173"/>
      <c r="AF129" s="173"/>
      <c r="AG129" s="173"/>
      <c r="AH129" s="173"/>
      <c r="AI129" s="173"/>
      <c r="AJ129" s="296">
        <f>AJ128+0.5</f>
        <v>47.5</v>
      </c>
      <c r="AK129" s="69"/>
      <c r="AL129" s="54">
        <f t="shared" si="10"/>
        <v>0</v>
      </c>
      <c r="AM129" s="183" t="str">
        <f>AM128</f>
        <v/>
      </c>
      <c r="AN129" s="54"/>
      <c r="AO129" s="267"/>
      <c r="AP129" s="242" t="str">
        <f t="shared" si="22"/>
        <v/>
      </c>
      <c r="AQ129" s="242" t="str">
        <f t="shared" ref="AQ129:AV129" si="173">IF(F129="",AP129,F129)</f>
        <v/>
      </c>
      <c r="AR129" s="242" t="str">
        <f t="shared" si="173"/>
        <v/>
      </c>
      <c r="AS129" s="242" t="str">
        <f t="shared" si="173"/>
        <v/>
      </c>
      <c r="AT129" s="242" t="str">
        <f t="shared" si="173"/>
        <v/>
      </c>
      <c r="AU129" s="242" t="str">
        <f t="shared" si="173"/>
        <v/>
      </c>
      <c r="AV129" s="242" t="str">
        <f t="shared" si="173"/>
        <v/>
      </c>
      <c r="AW129" s="268" t="str">
        <f t="shared" si="30"/>
        <v/>
      </c>
      <c r="AX129" s="269"/>
      <c r="AY129" s="270"/>
      <c r="AZ129" s="271"/>
      <c r="BA129" s="246"/>
      <c r="BB129" s="246"/>
      <c r="BC129" s="263"/>
      <c r="BD129" s="66"/>
      <c r="BE129" s="69"/>
      <c r="BF129" s="54"/>
      <c r="BG129" s="54"/>
      <c r="BH129" s="54"/>
      <c r="BI129" s="54"/>
      <c r="BK129" s="173"/>
      <c r="BM129" s="173"/>
      <c r="BN129" s="175"/>
      <c r="BO129" s="175"/>
      <c r="BP129" s="250" t="str">
        <f t="shared" si="36"/>
        <v/>
      </c>
      <c r="BQ129" s="175"/>
      <c r="BR129" s="250"/>
      <c r="BS129" s="250" t="str">
        <f t="shared" si="15"/>
        <v/>
      </c>
      <c r="BT129" s="250" t="str">
        <f t="shared" si="37"/>
        <v/>
      </c>
      <c r="BU129" s="253" t="str">
        <f t="shared" si="33"/>
        <v/>
      </c>
      <c r="BV129" s="254" t="b">
        <f t="shared" si="17"/>
        <v>0</v>
      </c>
      <c r="BW129" s="175" t="str">
        <f t="shared" si="38"/>
        <v/>
      </c>
      <c r="BX129" s="44" t="b">
        <f t="shared" si="19"/>
        <v>0</v>
      </c>
      <c r="BY129" s="202" t="b">
        <f t="shared" si="20"/>
        <v>0</v>
      </c>
      <c r="BZ129" s="203">
        <f t="shared" si="25"/>
        <v>0</v>
      </c>
      <c r="CA129" s="175">
        <f t="shared" si="26"/>
        <v>0</v>
      </c>
      <c r="CB129" s="175"/>
      <c r="CC129" s="173"/>
      <c r="CD129" s="173"/>
    </row>
    <row r="130" ht="15.75" customHeight="1">
      <c r="A130" s="11"/>
      <c r="B130" s="221" t="str">
        <f>IF(B128="","",B128+7)</f>
        <v/>
      </c>
      <c r="C130" s="222"/>
      <c r="D130" s="223" t="str">
        <f t="shared" si="27"/>
        <v>Weight</v>
      </c>
      <c r="E130" s="224"/>
      <c r="F130" s="300"/>
      <c r="G130" s="225"/>
      <c r="H130" s="225"/>
      <c r="I130" s="225"/>
      <c r="J130" s="225"/>
      <c r="K130" s="225"/>
      <c r="L130" s="284" t="str">
        <f t="shared" si="6"/>
        <v/>
      </c>
      <c r="M130" s="227"/>
      <c r="N130" s="302"/>
      <c r="O130" s="302"/>
      <c r="P130" s="302"/>
      <c r="Q130" s="276" t="str">
        <f>BL130</f>
        <v/>
      </c>
      <c r="R130" s="228"/>
      <c r="S130" s="230" t="str">
        <f>IFERROR(__xludf.DUMMYFUNCTION("IF(L130="""","""",(L130-index(filter($L$36:L128,$L$36:L128&lt;&gt;"""",ISEVEN(row($L$36:L128))),count(filter($L$36:L128,$L$36:L128&lt;&gt;"""",iseven(row($L$36:L128)))),1)))"),"")</f>
        <v/>
      </c>
      <c r="T130" s="231"/>
      <c r="U130" s="232" t="str">
        <f>if(BD$24=FALSE,"",IF(L130="","",BC130))</f>
        <v/>
      </c>
      <c r="V130" s="233"/>
      <c r="W130" s="234">
        <f>IF(count(S130:S131)&gt;1,1,0)</f>
        <v>0</v>
      </c>
      <c r="X130" s="235" t="str">
        <f>if(Y130="","","Week 48")</f>
        <v/>
      </c>
      <c r="Y130" s="236" t="str">
        <f>IF(S130="","",text(B130,"MMM-YY"))</f>
        <v/>
      </c>
      <c r="Z130" s="173"/>
      <c r="AA130" s="173"/>
      <c r="AB130" s="173"/>
      <c r="AC130" s="173"/>
      <c r="AD130" s="173"/>
      <c r="AE130" s="173"/>
      <c r="AF130" s="173"/>
      <c r="AG130" s="173"/>
      <c r="AH130" s="173"/>
      <c r="AI130" s="173"/>
      <c r="AJ130" s="296">
        <f>AJ128+1</f>
        <v>48</v>
      </c>
      <c r="AK130" s="277">
        <v>47.0</v>
      </c>
      <c r="AL130" s="54">
        <f t="shared" si="10"/>
        <v>0</v>
      </c>
      <c r="AM130" s="198" t="str">
        <f>IF(K130="",AM128,K130)</f>
        <v/>
      </c>
      <c r="AN130" s="54"/>
      <c r="AO130" s="241"/>
      <c r="AP130" s="242" t="str">
        <f t="shared" si="22"/>
        <v/>
      </c>
      <c r="AQ130" s="242" t="str">
        <f t="shared" ref="AQ130:AV130" si="174">IF(F130="",AP130,F130)</f>
        <v/>
      </c>
      <c r="AR130" s="242" t="str">
        <f t="shared" si="174"/>
        <v/>
      </c>
      <c r="AS130" s="242" t="str">
        <f t="shared" si="174"/>
        <v/>
      </c>
      <c r="AT130" s="242" t="str">
        <f t="shared" si="174"/>
        <v/>
      </c>
      <c r="AU130" s="242" t="str">
        <f t="shared" si="174"/>
        <v/>
      </c>
      <c r="AV130" s="242" t="str">
        <f t="shared" si="174"/>
        <v/>
      </c>
      <c r="AW130" s="278" t="str">
        <f t="shared" si="30"/>
        <v/>
      </c>
      <c r="AX130" s="244">
        <f>if(AND(AW130=AX$34,$AL130&gt;0),ROW(),0)</f>
        <v>0</v>
      </c>
      <c r="AY130" s="244">
        <f>if(AND(AW130=AY$34,$AL130&gt;0),ROW(),0)</f>
        <v>0</v>
      </c>
      <c r="AZ130" s="279" t="str">
        <f>IF(AW130="","",AW130-AW128)</f>
        <v/>
      </c>
      <c r="BA130" s="246">
        <f>if(BB130&gt;0,row(),0)</f>
        <v>130</v>
      </c>
      <c r="BB130" s="246">
        <f>max(if(E130=AW$30,COLUMN(E130),0),if(F130=AW$30,COLUMN(F130),0),if(G130=AW$30,COLUMN(G130),0),if(H130=AW$30,COLUMN(H130),0),if(I130=AW$30,COLUMN(I130),0),if(J130=AW$30,COLUMN(J130),0),if(K130=AW$30,COLUMN(K130),0))</f>
        <v>11</v>
      </c>
      <c r="BC130" s="247" t="str">
        <f>IF(BD130="","",IF(AZ130="","",BD130))</f>
        <v/>
      </c>
      <c r="BD130" s="248">
        <f>IF(AL130=0,BD128,IF(AL131=0,BD128,((AW131+(((-AZ130)*$BD$7)/AL131)+sum($BE$38:BE128))/AK130)))</f>
        <v>0</v>
      </c>
      <c r="BE130" s="249">
        <f>IF(AL130=0,BE128,IF(AL131=0,BE128,AW131+(((-AZ130)*$BD$7)/AL131)))</f>
        <v>0</v>
      </c>
      <c r="BF130" s="54"/>
      <c r="BG130" s="54"/>
      <c r="BH130" s="54"/>
      <c r="BI130" s="54"/>
      <c r="BJ130" s="173" t="str">
        <f>text(B130,"YYYY MMM")</f>
        <v/>
      </c>
      <c r="BK130" s="173"/>
      <c r="BL130" s="174" t="str">
        <f>if($G$13="Disable","", if($G$9="","",if(and($G$9="Male",count($N130:$O130)&lt;&gt;2),"",
if(and($G$9="Male",count($N130:$O130)=2),round(if($N130="","",
     if($G$14="cm",86.01*log($N130-$O130)-70.041*log($G$15)+30.3,
     if($G$14="inch",86.01*log(($N130-$O130)*2.54)-70.041*log($G$15*2.54)+30.3))),0),                                         
if(and($G$9="Female",count($N130:$P130)&lt;&gt;3),"",
if(and($G$9="Female",count($N130:$P130)=3),round(if($N130="","",
        if($G$14="cm",495/(1.29579-0.35004*log10($N130+$P130-$O130)+0.221 * log10($G$15))-450,
        if($G$14="inch",495/(1.29579-0.35004*log10(($N130+$P130-$O130)*2.54)+0.221 * log10($G$15*2.54))-450))),0)))))))</f>
        <v/>
      </c>
      <c r="BM130" s="173"/>
      <c r="BN130" s="175"/>
      <c r="BO130" s="175"/>
      <c r="BP130" s="250" t="str">
        <f t="shared" si="36"/>
        <v/>
      </c>
      <c r="BQ130" s="175"/>
      <c r="BR130" s="250"/>
      <c r="BS130" s="250" t="str">
        <f t="shared" si="15"/>
        <v/>
      </c>
      <c r="BT130" s="250" t="str">
        <f t="shared" si="37"/>
        <v/>
      </c>
      <c r="BU130" s="253" t="str">
        <f t="shared" si="33"/>
        <v/>
      </c>
      <c r="BV130" s="254" t="b">
        <f t="shared" si="17"/>
        <v>0</v>
      </c>
      <c r="BW130" s="175" t="str">
        <f t="shared" si="38"/>
        <v/>
      </c>
      <c r="BX130" s="44" t="b">
        <f t="shared" si="19"/>
        <v>0</v>
      </c>
      <c r="BY130" s="202" t="b">
        <f t="shared" si="20"/>
        <v>0</v>
      </c>
      <c r="BZ130" s="203">
        <f t="shared" si="25"/>
        <v>0</v>
      </c>
      <c r="CA130" s="175">
        <f t="shared" si="26"/>
        <v>0</v>
      </c>
      <c r="CB130" s="175"/>
      <c r="CC130" s="173"/>
      <c r="CD130" s="173"/>
    </row>
    <row r="131" ht="15.75" customHeight="1">
      <c r="A131" s="11"/>
      <c r="B131" s="255"/>
      <c r="C131" s="256"/>
      <c r="D131" s="257" t="str">
        <f t="shared" si="27"/>
        <v>Calories</v>
      </c>
      <c r="E131" s="258"/>
      <c r="F131" s="280"/>
      <c r="G131" s="259"/>
      <c r="H131" s="259"/>
      <c r="I131" s="259"/>
      <c r="J131" s="259"/>
      <c r="K131" s="259"/>
      <c r="L131" s="260" t="str">
        <f t="shared" si="6"/>
        <v/>
      </c>
      <c r="M131" s="261"/>
      <c r="N131" s="255"/>
      <c r="O131" s="255"/>
      <c r="P131" s="255"/>
      <c r="Q131" s="255"/>
      <c r="R131" s="255"/>
      <c r="S131" s="255"/>
      <c r="T131" s="231"/>
      <c r="U131" s="255"/>
      <c r="V131" s="233"/>
      <c r="W131" s="262"/>
      <c r="X131" s="262"/>
      <c r="Y131" s="263"/>
      <c r="Z131" s="173"/>
      <c r="AA131" s="173"/>
      <c r="AB131" s="173"/>
      <c r="AC131" s="173"/>
      <c r="AD131" s="173"/>
      <c r="AE131" s="173"/>
      <c r="AF131" s="173"/>
      <c r="AG131" s="173"/>
      <c r="AH131" s="173"/>
      <c r="AI131" s="173"/>
      <c r="AJ131" s="296">
        <f>AJ130+0.5</f>
        <v>48.5</v>
      </c>
      <c r="AK131" s="69"/>
      <c r="AL131" s="54">
        <f t="shared" si="10"/>
        <v>0</v>
      </c>
      <c r="AM131" s="183" t="str">
        <f>AM130</f>
        <v/>
      </c>
      <c r="AN131" s="54"/>
      <c r="AO131" s="267"/>
      <c r="AP131" s="242" t="str">
        <f t="shared" si="22"/>
        <v/>
      </c>
      <c r="AQ131" s="242" t="str">
        <f t="shared" ref="AQ131:AV131" si="175">IF(F131="",AP131,F131)</f>
        <v/>
      </c>
      <c r="AR131" s="242" t="str">
        <f t="shared" si="175"/>
        <v/>
      </c>
      <c r="AS131" s="242" t="str">
        <f t="shared" si="175"/>
        <v/>
      </c>
      <c r="AT131" s="242" t="str">
        <f t="shared" si="175"/>
        <v/>
      </c>
      <c r="AU131" s="242" t="str">
        <f t="shared" si="175"/>
        <v/>
      </c>
      <c r="AV131" s="242" t="str">
        <f t="shared" si="175"/>
        <v/>
      </c>
      <c r="AW131" s="268" t="str">
        <f t="shared" si="30"/>
        <v/>
      </c>
      <c r="AX131" s="269"/>
      <c r="AY131" s="270"/>
      <c r="AZ131" s="271"/>
      <c r="BA131" s="246"/>
      <c r="BB131" s="246"/>
      <c r="BC131" s="263"/>
      <c r="BD131" s="66"/>
      <c r="BE131" s="69"/>
      <c r="BF131" s="54"/>
      <c r="BG131" s="54"/>
      <c r="BH131" s="54"/>
      <c r="BI131" s="54"/>
      <c r="BK131" s="173"/>
      <c r="BM131" s="173"/>
      <c r="BN131" s="175"/>
      <c r="BO131" s="175"/>
      <c r="BP131" s="250" t="str">
        <f t="shared" si="36"/>
        <v/>
      </c>
      <c r="BQ131" s="175"/>
      <c r="BR131" s="250"/>
      <c r="BS131" s="250" t="str">
        <f t="shared" si="15"/>
        <v/>
      </c>
      <c r="BT131" s="250" t="str">
        <f t="shared" si="37"/>
        <v/>
      </c>
      <c r="BU131" s="253" t="str">
        <f t="shared" si="33"/>
        <v/>
      </c>
      <c r="BV131" s="254" t="b">
        <f t="shared" si="17"/>
        <v>0</v>
      </c>
      <c r="BW131" s="175" t="str">
        <f t="shared" si="38"/>
        <v/>
      </c>
      <c r="BX131" s="44" t="b">
        <f t="shared" si="19"/>
        <v>0</v>
      </c>
      <c r="BY131" s="202" t="b">
        <f t="shared" si="20"/>
        <v>0</v>
      </c>
      <c r="BZ131" s="203">
        <f t="shared" si="25"/>
        <v>0</v>
      </c>
      <c r="CA131" s="175">
        <f t="shared" si="26"/>
        <v>0</v>
      </c>
      <c r="CB131" s="175"/>
      <c r="CC131" s="173"/>
      <c r="CD131" s="173"/>
    </row>
    <row r="132" ht="15.75" customHeight="1">
      <c r="A132" s="11"/>
      <c r="B132" s="221" t="str">
        <f>IF(B130="","",B130+7)</f>
        <v/>
      </c>
      <c r="C132" s="222"/>
      <c r="D132" s="223" t="str">
        <f t="shared" si="27"/>
        <v>Weight</v>
      </c>
      <c r="E132" s="272"/>
      <c r="F132" s="273"/>
      <c r="G132" s="274"/>
      <c r="H132" s="274"/>
      <c r="I132" s="274"/>
      <c r="J132" s="274"/>
      <c r="K132" s="274"/>
      <c r="L132" s="284" t="str">
        <f t="shared" si="6"/>
        <v/>
      </c>
      <c r="M132" s="227"/>
      <c r="N132" s="302"/>
      <c r="O132" s="302"/>
      <c r="P132" s="302"/>
      <c r="Q132" s="276" t="str">
        <f>BL132</f>
        <v/>
      </c>
      <c r="R132" s="228"/>
      <c r="S132" s="230" t="str">
        <f>IFERROR(__xludf.DUMMYFUNCTION("IF(L132="""","""",(L132-index(filter($L$36:L130,$L$36:L130&lt;&gt;"""",ISEVEN(row($L$36:L130))),count(filter($L$36:L130,$L$36:L130&lt;&gt;"""",iseven(row($L$36:L130)))),1)))"),"")</f>
        <v/>
      </c>
      <c r="T132" s="231"/>
      <c r="U132" s="232" t="str">
        <f>if(BD$24=FALSE,"",IF(L132="","",BC132))</f>
        <v/>
      </c>
      <c r="V132" s="233"/>
      <c r="W132" s="234">
        <f>IF(count(S132:S133)&gt;1,1,0)</f>
        <v>0</v>
      </c>
      <c r="X132" s="235" t="str">
        <f>if(Y132="","","Week 49")</f>
        <v/>
      </c>
      <c r="Y132" s="236" t="str">
        <f>IF(S132="","",text(B132,"MMM-YY"))</f>
        <v/>
      </c>
      <c r="Z132" s="173"/>
      <c r="AA132" s="173"/>
      <c r="AB132" s="173"/>
      <c r="AC132" s="173"/>
      <c r="AD132" s="173"/>
      <c r="AE132" s="173"/>
      <c r="AF132" s="173"/>
      <c r="AG132" s="173"/>
      <c r="AH132" s="173"/>
      <c r="AI132" s="173"/>
      <c r="AJ132" s="296">
        <f>AJ130+1</f>
        <v>49</v>
      </c>
      <c r="AK132" s="277">
        <v>48.0</v>
      </c>
      <c r="AL132" s="54">
        <f t="shared" si="10"/>
        <v>0</v>
      </c>
      <c r="AM132" s="198" t="str">
        <f>IF(K132="",AM130,K132)</f>
        <v/>
      </c>
      <c r="AN132" s="54"/>
      <c r="AO132" s="241"/>
      <c r="AP132" s="242" t="str">
        <f t="shared" si="22"/>
        <v/>
      </c>
      <c r="AQ132" s="242" t="str">
        <f t="shared" ref="AQ132:AV132" si="176">IF(F132="",AP132,F132)</f>
        <v/>
      </c>
      <c r="AR132" s="242" t="str">
        <f t="shared" si="176"/>
        <v/>
      </c>
      <c r="AS132" s="242" t="str">
        <f t="shared" si="176"/>
        <v/>
      </c>
      <c r="AT132" s="242" t="str">
        <f t="shared" si="176"/>
        <v/>
      </c>
      <c r="AU132" s="242" t="str">
        <f t="shared" si="176"/>
        <v/>
      </c>
      <c r="AV132" s="242" t="str">
        <f t="shared" si="176"/>
        <v/>
      </c>
      <c r="AW132" s="278" t="str">
        <f t="shared" si="30"/>
        <v/>
      </c>
      <c r="AX132" s="244">
        <f>if(AND(AW132=AX$34,$AL132&gt;0),ROW(),0)</f>
        <v>0</v>
      </c>
      <c r="AY132" s="244">
        <f>if(AND(AW132=AY$34,$AL132&gt;0),ROW(),0)</f>
        <v>0</v>
      </c>
      <c r="AZ132" s="279" t="str">
        <f>IF(AW132="","",AW132-AW130)</f>
        <v/>
      </c>
      <c r="BA132" s="246">
        <f>if(BB132&gt;0,row(),0)</f>
        <v>132</v>
      </c>
      <c r="BB132" s="246">
        <f>max(if(E132=AW$30,COLUMN(E132),0),if(F132=AW$30,COLUMN(F132),0),if(G132=AW$30,COLUMN(G132),0),if(H132=AW$30,COLUMN(H132),0),if(I132=AW$30,COLUMN(I132),0),if(J132=AW$30,COLUMN(J132),0),if(K132=AW$30,COLUMN(K132),0))</f>
        <v>11</v>
      </c>
      <c r="BC132" s="247" t="str">
        <f>IF(BD132="","",IF(AZ132="","",BD132))</f>
        <v/>
      </c>
      <c r="BD132" s="248">
        <f>IF(AL132=0,BD130,IF(AL133=0,BD130,((AW133+(((-AZ132)*$BD$7)/AL133)+sum($BE$38:BE130))/AK132)))</f>
        <v>0</v>
      </c>
      <c r="BE132" s="249">
        <f>IF(AL132=0,BE130,IF(AL133=0,BE130,AW133+(((-AZ132)*$BD$7)/AL133)))</f>
        <v>0</v>
      </c>
      <c r="BF132" s="54"/>
      <c r="BG132" s="54"/>
      <c r="BH132" s="54"/>
      <c r="BI132" s="54"/>
      <c r="BJ132" s="173" t="str">
        <f>text(B132,"YYYY MMM")</f>
        <v/>
      </c>
      <c r="BK132" s="173"/>
      <c r="BL132" s="174" t="str">
        <f>if($G$13="Disable","", if($G$9="","",if(and($G$9="Male",count($N132:$O132)&lt;&gt;2),"",
if(and($G$9="Male",count($N132:$O132)=2),round(if($N132="","",
     if($G$14="cm",86.01*log($N132-$O132)-70.041*log($G$15)+30.3,
     if($G$14="inch",86.01*log(($N132-$O132)*2.54)-70.041*log($G$15*2.54)+30.3))),0),                                         
if(and($G$9="Female",count($N132:$P132)&lt;&gt;3),"",
if(and($G$9="Female",count($N132:$P132)=3),round(if($N132="","",
        if($G$14="cm",495/(1.29579-0.35004*log10($N132+$P132-$O132)+0.221 * log10($G$15))-450,
        if($G$14="inch",495/(1.29579-0.35004*log10(($N132+$P132-$O132)*2.54)+0.221 * log10($G$15*2.54))-450))),0)))))))</f>
        <v/>
      </c>
      <c r="BM132" s="173"/>
      <c r="BN132" s="175"/>
      <c r="BO132" s="175"/>
      <c r="BP132" s="250" t="str">
        <f t="shared" si="36"/>
        <v/>
      </c>
      <c r="BQ132" s="175"/>
      <c r="BR132" s="250"/>
      <c r="BS132" s="250" t="str">
        <f t="shared" si="15"/>
        <v/>
      </c>
      <c r="BT132" s="250" t="str">
        <f t="shared" si="37"/>
        <v/>
      </c>
      <c r="BU132" s="253" t="str">
        <f t="shared" si="33"/>
        <v/>
      </c>
      <c r="BV132" s="254" t="b">
        <f t="shared" si="17"/>
        <v>0</v>
      </c>
      <c r="BW132" s="175" t="str">
        <f t="shared" si="38"/>
        <v/>
      </c>
      <c r="BX132" s="44" t="b">
        <f t="shared" si="19"/>
        <v>0</v>
      </c>
      <c r="BY132" s="202" t="b">
        <f t="shared" si="20"/>
        <v>0</v>
      </c>
      <c r="BZ132" s="203">
        <f t="shared" si="25"/>
        <v>0</v>
      </c>
      <c r="CA132" s="175">
        <f t="shared" si="26"/>
        <v>0</v>
      </c>
      <c r="CB132" s="175"/>
      <c r="CC132" s="173"/>
      <c r="CD132" s="173"/>
    </row>
    <row r="133" ht="15.75" customHeight="1">
      <c r="A133" s="11"/>
      <c r="B133" s="255"/>
      <c r="C133" s="256"/>
      <c r="D133" s="257" t="str">
        <f t="shared" si="27"/>
        <v>Calories</v>
      </c>
      <c r="E133" s="258"/>
      <c r="F133" s="280"/>
      <c r="G133" s="259"/>
      <c r="H133" s="259"/>
      <c r="I133" s="259"/>
      <c r="J133" s="259"/>
      <c r="K133" s="259"/>
      <c r="L133" s="260" t="str">
        <f t="shared" si="6"/>
        <v/>
      </c>
      <c r="M133" s="261"/>
      <c r="N133" s="255"/>
      <c r="O133" s="255"/>
      <c r="P133" s="255"/>
      <c r="Q133" s="255"/>
      <c r="R133" s="255"/>
      <c r="S133" s="255"/>
      <c r="T133" s="231"/>
      <c r="U133" s="255"/>
      <c r="V133" s="233"/>
      <c r="W133" s="262"/>
      <c r="X133" s="262"/>
      <c r="Y133" s="263"/>
      <c r="Z133" s="173"/>
      <c r="AA133" s="173"/>
      <c r="AB133" s="173"/>
      <c r="AC133" s="173"/>
      <c r="AD133" s="173"/>
      <c r="AE133" s="173"/>
      <c r="AF133" s="173"/>
      <c r="AG133" s="173"/>
      <c r="AH133" s="173"/>
      <c r="AI133" s="173"/>
      <c r="AJ133" s="296">
        <f>AJ132+0.5</f>
        <v>49.5</v>
      </c>
      <c r="AK133" s="69"/>
      <c r="AL133" s="54">
        <f t="shared" si="10"/>
        <v>0</v>
      </c>
      <c r="AM133" s="183" t="str">
        <f>AM132</f>
        <v/>
      </c>
      <c r="AN133" s="54"/>
      <c r="AO133" s="267"/>
      <c r="AP133" s="242" t="str">
        <f t="shared" si="22"/>
        <v/>
      </c>
      <c r="AQ133" s="242" t="str">
        <f t="shared" ref="AQ133:AV133" si="177">IF(F133="",AP133,F133)</f>
        <v/>
      </c>
      <c r="AR133" s="242" t="str">
        <f t="shared" si="177"/>
        <v/>
      </c>
      <c r="AS133" s="242" t="str">
        <f t="shared" si="177"/>
        <v/>
      </c>
      <c r="AT133" s="242" t="str">
        <f t="shared" si="177"/>
        <v/>
      </c>
      <c r="AU133" s="242" t="str">
        <f t="shared" si="177"/>
        <v/>
      </c>
      <c r="AV133" s="242" t="str">
        <f t="shared" si="177"/>
        <v/>
      </c>
      <c r="AW133" s="268" t="str">
        <f t="shared" si="30"/>
        <v/>
      </c>
      <c r="AX133" s="269"/>
      <c r="AY133" s="270"/>
      <c r="AZ133" s="271"/>
      <c r="BA133" s="246"/>
      <c r="BB133" s="246"/>
      <c r="BC133" s="263"/>
      <c r="BD133" s="66"/>
      <c r="BE133" s="69"/>
      <c r="BF133" s="54"/>
      <c r="BG133" s="54"/>
      <c r="BH133" s="54"/>
      <c r="BI133" s="54"/>
      <c r="BK133" s="173"/>
      <c r="BM133" s="173"/>
      <c r="BN133" s="175"/>
      <c r="BO133" s="175"/>
      <c r="BP133" s="250" t="str">
        <f t="shared" si="36"/>
        <v/>
      </c>
      <c r="BQ133" s="175"/>
      <c r="BR133" s="250"/>
      <c r="BS133" s="250" t="str">
        <f t="shared" si="15"/>
        <v/>
      </c>
      <c r="BT133" s="250" t="str">
        <f t="shared" si="37"/>
        <v/>
      </c>
      <c r="BU133" s="253" t="str">
        <f t="shared" si="33"/>
        <v/>
      </c>
      <c r="BV133" s="254" t="b">
        <f t="shared" si="17"/>
        <v>0</v>
      </c>
      <c r="BW133" s="175" t="str">
        <f t="shared" si="38"/>
        <v/>
      </c>
      <c r="BX133" s="44" t="b">
        <f t="shared" si="19"/>
        <v>0</v>
      </c>
      <c r="BY133" s="202" t="b">
        <f t="shared" si="20"/>
        <v>0</v>
      </c>
      <c r="BZ133" s="203">
        <f t="shared" si="25"/>
        <v>0</v>
      </c>
      <c r="CA133" s="175">
        <f t="shared" si="26"/>
        <v>0</v>
      </c>
      <c r="CB133" s="175"/>
      <c r="CC133" s="173"/>
      <c r="CD133" s="173"/>
    </row>
    <row r="134" ht="15.75" customHeight="1">
      <c r="A134" s="11"/>
      <c r="B134" s="221" t="str">
        <f>IF(B132="","",B132+7)</f>
        <v/>
      </c>
      <c r="C134" s="222"/>
      <c r="D134" s="223" t="str">
        <f t="shared" si="27"/>
        <v>Weight</v>
      </c>
      <c r="E134" s="272"/>
      <c r="F134" s="273"/>
      <c r="G134" s="274"/>
      <c r="H134" s="274"/>
      <c r="I134" s="274"/>
      <c r="J134" s="274"/>
      <c r="K134" s="274"/>
      <c r="L134" s="284" t="str">
        <f t="shared" si="6"/>
        <v/>
      </c>
      <c r="M134" s="227"/>
      <c r="N134" s="302"/>
      <c r="O134" s="302"/>
      <c r="P134" s="302"/>
      <c r="Q134" s="276" t="str">
        <f>BL134</f>
        <v/>
      </c>
      <c r="R134" s="228"/>
      <c r="S134" s="230" t="str">
        <f>IFERROR(__xludf.DUMMYFUNCTION("IF(L134="""","""",(L134-index(filter($L$36:L132,$L$36:L132&lt;&gt;"""",ISEVEN(row($L$36:L132))),count(filter($L$36:L132,$L$36:L132&lt;&gt;"""",iseven(row($L$36:L132)))),1)))"),"")</f>
        <v/>
      </c>
      <c r="T134" s="231"/>
      <c r="U134" s="232" t="str">
        <f>if(BD$24=FALSE,"",IF(L134="","",BC134))</f>
        <v/>
      </c>
      <c r="V134" s="233"/>
      <c r="W134" s="234">
        <f>IF(count(S134:S135)&gt;1,1,0)</f>
        <v>0</v>
      </c>
      <c r="X134" s="235" t="str">
        <f>if(Y134="","","Week 50")</f>
        <v/>
      </c>
      <c r="Y134" s="236" t="str">
        <f>IF(S134="","",text(B134,"MMM-YY"))</f>
        <v/>
      </c>
      <c r="Z134" s="173"/>
      <c r="AA134" s="173"/>
      <c r="AB134" s="173"/>
      <c r="AC134" s="173"/>
      <c r="AD134" s="173"/>
      <c r="AE134" s="173"/>
      <c r="AF134" s="173"/>
      <c r="AG134" s="173"/>
      <c r="AH134" s="173"/>
      <c r="AI134" s="173"/>
      <c r="AJ134" s="296">
        <f>AJ132+1</f>
        <v>50</v>
      </c>
      <c r="AK134" s="277">
        <v>49.0</v>
      </c>
      <c r="AL134" s="54">
        <f t="shared" si="10"/>
        <v>0</v>
      </c>
      <c r="AM134" s="198" t="str">
        <f>IF(K134="",AM132,K134)</f>
        <v/>
      </c>
      <c r="AN134" s="54"/>
      <c r="AO134" s="241"/>
      <c r="AP134" s="242" t="str">
        <f t="shared" si="22"/>
        <v/>
      </c>
      <c r="AQ134" s="242" t="str">
        <f t="shared" ref="AQ134:AV134" si="178">IF(F134="",AP134,F134)</f>
        <v/>
      </c>
      <c r="AR134" s="242" t="str">
        <f t="shared" si="178"/>
        <v/>
      </c>
      <c r="AS134" s="242" t="str">
        <f t="shared" si="178"/>
        <v/>
      </c>
      <c r="AT134" s="242" t="str">
        <f t="shared" si="178"/>
        <v/>
      </c>
      <c r="AU134" s="242" t="str">
        <f t="shared" si="178"/>
        <v/>
      </c>
      <c r="AV134" s="242" t="str">
        <f t="shared" si="178"/>
        <v/>
      </c>
      <c r="AW134" s="278" t="str">
        <f t="shared" si="30"/>
        <v/>
      </c>
      <c r="AX134" s="244">
        <f>if(AND(AW134=AX$34,$AL134&gt;0),ROW(),0)</f>
        <v>0</v>
      </c>
      <c r="AY134" s="244">
        <f>if(AND(AW134=AY$34,$AL134&gt;0),ROW(),0)</f>
        <v>0</v>
      </c>
      <c r="AZ134" s="279" t="str">
        <f>IF(AW134="","",AW134-AW132)</f>
        <v/>
      </c>
      <c r="BA134" s="246">
        <f>if(BB134&gt;0,row(),0)</f>
        <v>134</v>
      </c>
      <c r="BB134" s="246">
        <f>max(if(E134=AW$30,COLUMN(E134),0),if(F134=AW$30,COLUMN(F134),0),if(G134=AW$30,COLUMN(G134),0),if(H134=AW$30,COLUMN(H134),0),if(I134=AW$30,COLUMN(I134),0),if(J134=AW$30,COLUMN(J134),0),if(K134=AW$30,COLUMN(K134),0))</f>
        <v>11</v>
      </c>
      <c r="BC134" s="247" t="str">
        <f>IF(BD134="","",IF(AZ134="","",BD134))</f>
        <v/>
      </c>
      <c r="BD134" s="248">
        <f>IF(AL134=0,BD132,IF(AL135=0,BD132,((AW135+(((-AZ134)*$BD$7)/AL135)+sum($BE$38:BE132))/AK134)))</f>
        <v>0</v>
      </c>
      <c r="BE134" s="249">
        <f>IF(AL134=0,BE132,IF(AL135=0,BE132,AW135+(((-AZ134)*$BD$7)/AL135)))</f>
        <v>0</v>
      </c>
      <c r="BF134" s="54"/>
      <c r="BG134" s="54"/>
      <c r="BH134" s="54"/>
      <c r="BI134" s="54"/>
      <c r="BJ134" s="173" t="str">
        <f>text(B134,"YYYY MMM")</f>
        <v/>
      </c>
      <c r="BK134" s="173"/>
      <c r="BL134" s="174" t="str">
        <f>if($G$13="Disable","", if($G$9="","",if(and($G$9="Male",count($N134:$O134)&lt;&gt;2),"",
if(and($G$9="Male",count($N134:$O134)=2),round(if($N134="","",
     if($G$14="cm",86.01*log($N134-$O134)-70.041*log($G$15)+30.3,
     if($G$14="inch",86.01*log(($N134-$O134)*2.54)-70.041*log($G$15*2.54)+30.3))),0),                                         
if(and($G$9="Female",count($N134:$P134)&lt;&gt;3),"",
if(and($G$9="Female",count($N134:$P134)=3),round(if($N134="","",
        if($G$14="cm",495/(1.29579-0.35004*log10($N134+$P134-$O134)+0.221 * log10($G$15))-450,
        if($G$14="inch",495/(1.29579-0.35004*log10(($N134+$P134-$O134)*2.54)+0.221 * log10($G$15*2.54))-450))),0)))))))</f>
        <v/>
      </c>
      <c r="BM134" s="173"/>
      <c r="BN134" s="175"/>
      <c r="BO134" s="175"/>
      <c r="BP134" s="250" t="str">
        <f t="shared" si="36"/>
        <v/>
      </c>
      <c r="BQ134" s="175"/>
      <c r="BR134" s="250"/>
      <c r="BS134" s="250" t="str">
        <f t="shared" si="15"/>
        <v/>
      </c>
      <c r="BT134" s="250" t="str">
        <f t="shared" si="37"/>
        <v/>
      </c>
      <c r="BU134" s="253" t="str">
        <f t="shared" si="33"/>
        <v/>
      </c>
      <c r="BV134" s="254" t="b">
        <f t="shared" si="17"/>
        <v>0</v>
      </c>
      <c r="BW134" s="175" t="str">
        <f t="shared" si="38"/>
        <v/>
      </c>
      <c r="BX134" s="44" t="b">
        <f t="shared" si="19"/>
        <v>0</v>
      </c>
      <c r="BY134" s="202" t="b">
        <f t="shared" si="20"/>
        <v>0</v>
      </c>
      <c r="BZ134" s="203">
        <f t="shared" si="25"/>
        <v>0</v>
      </c>
      <c r="CA134" s="175">
        <f t="shared" si="26"/>
        <v>0</v>
      </c>
      <c r="CB134" s="175"/>
      <c r="CC134" s="173"/>
      <c r="CD134" s="173"/>
    </row>
    <row r="135" ht="15.75" customHeight="1">
      <c r="A135" s="11"/>
      <c r="B135" s="255"/>
      <c r="C135" s="256"/>
      <c r="D135" s="257" t="str">
        <f t="shared" si="27"/>
        <v>Calories</v>
      </c>
      <c r="E135" s="258"/>
      <c r="F135" s="280"/>
      <c r="G135" s="259"/>
      <c r="H135" s="259"/>
      <c r="I135" s="259"/>
      <c r="J135" s="259"/>
      <c r="K135" s="259"/>
      <c r="L135" s="260" t="str">
        <f t="shared" si="6"/>
        <v/>
      </c>
      <c r="M135" s="261"/>
      <c r="N135" s="255"/>
      <c r="O135" s="255"/>
      <c r="P135" s="255"/>
      <c r="Q135" s="255"/>
      <c r="R135" s="255"/>
      <c r="S135" s="255"/>
      <c r="T135" s="231"/>
      <c r="U135" s="255"/>
      <c r="V135" s="233"/>
      <c r="W135" s="262"/>
      <c r="X135" s="262"/>
      <c r="Y135" s="263"/>
      <c r="Z135" s="173"/>
      <c r="AA135" s="173"/>
      <c r="AB135" s="173"/>
      <c r="AC135" s="173"/>
      <c r="AD135" s="173"/>
      <c r="AE135" s="173"/>
      <c r="AF135" s="173"/>
      <c r="AG135" s="173"/>
      <c r="AH135" s="173"/>
      <c r="AI135" s="173"/>
      <c r="AJ135" s="296">
        <f>AJ134+0.5</f>
        <v>50.5</v>
      </c>
      <c r="AK135" s="69"/>
      <c r="AL135" s="54">
        <f t="shared" si="10"/>
        <v>0</v>
      </c>
      <c r="AM135" s="183" t="str">
        <f>AM134</f>
        <v/>
      </c>
      <c r="AN135" s="54"/>
      <c r="AO135" s="267"/>
      <c r="AP135" s="242" t="str">
        <f t="shared" si="22"/>
        <v/>
      </c>
      <c r="AQ135" s="242" t="str">
        <f t="shared" ref="AQ135:AV135" si="179">IF(F135="",AP135,F135)</f>
        <v/>
      </c>
      <c r="AR135" s="242" t="str">
        <f t="shared" si="179"/>
        <v/>
      </c>
      <c r="AS135" s="242" t="str">
        <f t="shared" si="179"/>
        <v/>
      </c>
      <c r="AT135" s="242" t="str">
        <f t="shared" si="179"/>
        <v/>
      </c>
      <c r="AU135" s="242" t="str">
        <f t="shared" si="179"/>
        <v/>
      </c>
      <c r="AV135" s="242" t="str">
        <f t="shared" si="179"/>
        <v/>
      </c>
      <c r="AW135" s="268" t="str">
        <f t="shared" si="30"/>
        <v/>
      </c>
      <c r="AX135" s="269"/>
      <c r="AY135" s="270"/>
      <c r="AZ135" s="271"/>
      <c r="BA135" s="246"/>
      <c r="BB135" s="246"/>
      <c r="BC135" s="263"/>
      <c r="BD135" s="66"/>
      <c r="BE135" s="69"/>
      <c r="BF135" s="54"/>
      <c r="BG135" s="54"/>
      <c r="BH135" s="54"/>
      <c r="BI135" s="54"/>
      <c r="BK135" s="173"/>
      <c r="BM135" s="173"/>
      <c r="BN135" s="175"/>
      <c r="BO135" s="175"/>
      <c r="BP135" s="250" t="str">
        <f t="shared" si="36"/>
        <v/>
      </c>
      <c r="BQ135" s="175"/>
      <c r="BR135" s="250"/>
      <c r="BS135" s="250" t="str">
        <f t="shared" si="15"/>
        <v/>
      </c>
      <c r="BT135" s="250" t="str">
        <f t="shared" si="37"/>
        <v/>
      </c>
      <c r="BU135" s="253" t="str">
        <f t="shared" si="33"/>
        <v/>
      </c>
      <c r="BV135" s="254" t="b">
        <f t="shared" si="17"/>
        <v>0</v>
      </c>
      <c r="BW135" s="175" t="str">
        <f t="shared" si="38"/>
        <v/>
      </c>
      <c r="BX135" s="44" t="b">
        <f t="shared" si="19"/>
        <v>0</v>
      </c>
      <c r="BY135" s="202" t="b">
        <f t="shared" si="20"/>
        <v>0</v>
      </c>
      <c r="BZ135" s="203">
        <f t="shared" si="25"/>
        <v>0</v>
      </c>
      <c r="CA135" s="175">
        <f t="shared" si="26"/>
        <v>0</v>
      </c>
      <c r="CB135" s="175"/>
      <c r="CC135" s="173"/>
      <c r="CD135" s="173"/>
    </row>
    <row r="136" ht="15.75" customHeight="1">
      <c r="A136" s="11"/>
      <c r="B136" s="221" t="str">
        <f>IF(B134="","",B134+7)</f>
        <v/>
      </c>
      <c r="C136" s="222"/>
      <c r="D136" s="223" t="str">
        <f t="shared" si="27"/>
        <v>Weight</v>
      </c>
      <c r="E136" s="282"/>
      <c r="F136" s="274"/>
      <c r="G136" s="274"/>
      <c r="H136" s="297"/>
      <c r="I136" s="297"/>
      <c r="J136" s="297"/>
      <c r="K136" s="297"/>
      <c r="L136" s="284" t="str">
        <f t="shared" si="6"/>
        <v/>
      </c>
      <c r="M136" s="227"/>
      <c r="N136" s="302"/>
      <c r="O136" s="302"/>
      <c r="P136" s="302"/>
      <c r="Q136" s="276" t="str">
        <f>BL136</f>
        <v/>
      </c>
      <c r="R136" s="228"/>
      <c r="S136" s="230" t="str">
        <f>IFERROR(__xludf.DUMMYFUNCTION("IF(L136="""","""",(L136-index(filter($L$36:L134,$L$36:L134&lt;&gt;"""",ISEVEN(row($L$36:L134))),count(filter($L$36:L134,$L$36:L134&lt;&gt;"""",iseven(row($L$36:L134)))),1)))"),"")</f>
        <v/>
      </c>
      <c r="T136" s="231"/>
      <c r="U136" s="232" t="str">
        <f>if(BD$24=FALSE,"",IF(L136="","",BC136))</f>
        <v/>
      </c>
      <c r="V136" s="233"/>
      <c r="W136" s="234">
        <f>IF(count(S136:S137)&gt;1,1,0)</f>
        <v>0</v>
      </c>
      <c r="X136" s="235" t="str">
        <f>if(Y136="","","Week 51")</f>
        <v/>
      </c>
      <c r="Y136" s="236" t="str">
        <f>IF(S136="","",text(B136,"MMM-YY"))</f>
        <v/>
      </c>
      <c r="Z136" s="173"/>
      <c r="AA136" s="173"/>
      <c r="AB136" s="173"/>
      <c r="AC136" s="173"/>
      <c r="AD136" s="173"/>
      <c r="AE136" s="173"/>
      <c r="AF136" s="173"/>
      <c r="AG136" s="173"/>
      <c r="AH136" s="173"/>
      <c r="AI136" s="173"/>
      <c r="AJ136" s="296">
        <f>AJ134+1</f>
        <v>51</v>
      </c>
      <c r="AK136" s="277">
        <v>50.0</v>
      </c>
      <c r="AL136" s="54">
        <f t="shared" si="10"/>
        <v>0</v>
      </c>
      <c r="AM136" s="198" t="str">
        <f>IF(K136="",AM134,K136)</f>
        <v/>
      </c>
      <c r="AN136" s="54"/>
      <c r="AO136" s="241"/>
      <c r="AP136" s="242" t="str">
        <f t="shared" si="22"/>
        <v/>
      </c>
      <c r="AQ136" s="242" t="str">
        <f t="shared" ref="AQ136:AV136" si="180">IF(F136="",AP136,F136)</f>
        <v/>
      </c>
      <c r="AR136" s="242" t="str">
        <f t="shared" si="180"/>
        <v/>
      </c>
      <c r="AS136" s="242" t="str">
        <f t="shared" si="180"/>
        <v/>
      </c>
      <c r="AT136" s="242" t="str">
        <f t="shared" si="180"/>
        <v/>
      </c>
      <c r="AU136" s="242" t="str">
        <f t="shared" si="180"/>
        <v/>
      </c>
      <c r="AV136" s="242" t="str">
        <f t="shared" si="180"/>
        <v/>
      </c>
      <c r="AW136" s="278" t="str">
        <f t="shared" si="30"/>
        <v/>
      </c>
      <c r="AX136" s="244">
        <f>if(AND(AW136=AX$34,$AL136&gt;0),ROW(),0)</f>
        <v>0</v>
      </c>
      <c r="AY136" s="244">
        <f>if(AND(AW136=AY$34,$AL136&gt;0),ROW(),0)</f>
        <v>0</v>
      </c>
      <c r="AZ136" s="279" t="str">
        <f>IF(AW136="","",AW136-AW134)</f>
        <v/>
      </c>
      <c r="BA136" s="246">
        <f>if(BB136&gt;0,row(),0)</f>
        <v>136</v>
      </c>
      <c r="BB136" s="246">
        <f>max(if(E136=AW$30,COLUMN(E136),0),if(F136=AW$30,COLUMN(F136),0),if(G136=AW$30,COLUMN(G136),0),if(H136=AW$30,COLUMN(H136),0),if(I136=AW$30,COLUMN(I136),0),if(J136=AW$30,COLUMN(J136),0),if(K136=AW$30,COLUMN(K136),0))</f>
        <v>11</v>
      </c>
      <c r="BC136" s="247" t="str">
        <f>IF(BD136="","",IF(AZ136="","",BD136))</f>
        <v/>
      </c>
      <c r="BD136" s="248">
        <f>IF(AL136=0,BD134,IF(AL137=0,BD134,((AW137+(((-AZ136)*$BD$7)/AL137)+sum($BE$38:BE134))/AK136)))</f>
        <v>0</v>
      </c>
      <c r="BE136" s="249">
        <f>IF(AL136=0,BE134,IF(AL137=0,BE134,AW137+(((-AZ136)*$BD$7)/AL137)))</f>
        <v>0</v>
      </c>
      <c r="BF136" s="54"/>
      <c r="BG136" s="54"/>
      <c r="BH136" s="54"/>
      <c r="BI136" s="54"/>
      <c r="BJ136" s="173" t="str">
        <f>text(B136,"YYYY MMM")</f>
        <v/>
      </c>
      <c r="BK136" s="173"/>
      <c r="BL136" s="174" t="str">
        <f>if($G$13="Disable","", if($G$9="","",if(and($G$9="Male",count($N136:$O136)&lt;&gt;2),"",
if(and($G$9="Male",count($N136:$O136)=2),round(if($N136="","",
     if($G$14="cm",86.01*log($N136-$O136)-70.041*log($G$15)+30.3,
     if($G$14="inch",86.01*log(($N136-$O136)*2.54)-70.041*log($G$15*2.54)+30.3))),0),                                         
if(and($G$9="Female",count($N136:$P136)&lt;&gt;3),"",
if(and($G$9="Female",count($N136:$P136)=3),round(if($N136="","",
        if($G$14="cm",495/(1.29579-0.35004*log10($N136+$P136-$O136)+0.221 * log10($G$15))-450,
        if($G$14="inch",495/(1.29579-0.35004*log10(($N136+$P136-$O136)*2.54)+0.221 * log10($G$15*2.54))-450))),0)))))))</f>
        <v/>
      </c>
      <c r="BM136" s="173"/>
      <c r="BN136" s="175"/>
      <c r="BO136" s="175"/>
      <c r="BP136" s="250" t="str">
        <f t="shared" si="36"/>
        <v/>
      </c>
      <c r="BQ136" s="175"/>
      <c r="BR136" s="250"/>
      <c r="BS136" s="250" t="str">
        <f t="shared" si="15"/>
        <v/>
      </c>
      <c r="BT136" s="250" t="str">
        <f t="shared" si="37"/>
        <v/>
      </c>
      <c r="BU136" s="253" t="str">
        <f t="shared" si="33"/>
        <v/>
      </c>
      <c r="BV136" s="254" t="b">
        <f t="shared" si="17"/>
        <v>0</v>
      </c>
      <c r="BW136" s="175" t="str">
        <f t="shared" si="38"/>
        <v/>
      </c>
      <c r="BX136" s="44" t="b">
        <f t="shared" si="19"/>
        <v>0</v>
      </c>
      <c r="BY136" s="202" t="b">
        <f t="shared" si="20"/>
        <v>0</v>
      </c>
      <c r="BZ136" s="203">
        <f t="shared" si="25"/>
        <v>0</v>
      </c>
      <c r="CA136" s="175">
        <f t="shared" si="26"/>
        <v>0</v>
      </c>
      <c r="CB136" s="175"/>
      <c r="CC136" s="173"/>
      <c r="CD136" s="173"/>
    </row>
    <row r="137" ht="15.75" customHeight="1">
      <c r="A137" s="11"/>
      <c r="B137" s="255"/>
      <c r="C137" s="256"/>
      <c r="D137" s="257" t="str">
        <f t="shared" si="27"/>
        <v>Calories</v>
      </c>
      <c r="E137" s="285"/>
      <c r="F137" s="259"/>
      <c r="G137" s="298"/>
      <c r="H137" s="299"/>
      <c r="I137" s="299"/>
      <c r="J137" s="299"/>
      <c r="K137" s="299"/>
      <c r="L137" s="260" t="str">
        <f t="shared" si="6"/>
        <v/>
      </c>
      <c r="M137" s="261"/>
      <c r="N137" s="255"/>
      <c r="O137" s="255"/>
      <c r="P137" s="255"/>
      <c r="Q137" s="255"/>
      <c r="R137" s="255"/>
      <c r="S137" s="255"/>
      <c r="T137" s="231"/>
      <c r="U137" s="255"/>
      <c r="V137" s="233"/>
      <c r="W137" s="262"/>
      <c r="X137" s="262"/>
      <c r="Y137" s="263"/>
      <c r="Z137" s="173"/>
      <c r="AA137" s="173"/>
      <c r="AB137" s="173"/>
      <c r="AC137" s="173"/>
      <c r="AD137" s="173"/>
      <c r="AE137" s="173"/>
      <c r="AF137" s="173"/>
      <c r="AG137" s="173"/>
      <c r="AH137" s="173"/>
      <c r="AI137" s="173"/>
      <c r="AJ137" s="296">
        <f>AJ136+0.5</f>
        <v>51.5</v>
      </c>
      <c r="AK137" s="69"/>
      <c r="AL137" s="54">
        <f t="shared" si="10"/>
        <v>0</v>
      </c>
      <c r="AM137" s="183" t="str">
        <f>AM136</f>
        <v/>
      </c>
      <c r="AN137" s="54"/>
      <c r="AO137" s="267"/>
      <c r="AP137" s="242" t="str">
        <f t="shared" si="22"/>
        <v/>
      </c>
      <c r="AQ137" s="242" t="str">
        <f t="shared" ref="AQ137:AV137" si="181">IF(F137="",AP137,F137)</f>
        <v/>
      </c>
      <c r="AR137" s="242" t="str">
        <f t="shared" si="181"/>
        <v/>
      </c>
      <c r="AS137" s="242" t="str">
        <f t="shared" si="181"/>
        <v/>
      </c>
      <c r="AT137" s="242" t="str">
        <f t="shared" si="181"/>
        <v/>
      </c>
      <c r="AU137" s="242" t="str">
        <f t="shared" si="181"/>
        <v/>
      </c>
      <c r="AV137" s="242" t="str">
        <f t="shared" si="181"/>
        <v/>
      </c>
      <c r="AW137" s="268" t="str">
        <f t="shared" si="30"/>
        <v/>
      </c>
      <c r="AX137" s="269"/>
      <c r="AY137" s="270"/>
      <c r="AZ137" s="271"/>
      <c r="BA137" s="246"/>
      <c r="BB137" s="246"/>
      <c r="BC137" s="263"/>
      <c r="BD137" s="66"/>
      <c r="BE137" s="69"/>
      <c r="BF137" s="54"/>
      <c r="BG137" s="54"/>
      <c r="BH137" s="54"/>
      <c r="BI137" s="54"/>
      <c r="BK137" s="173"/>
      <c r="BM137" s="173"/>
      <c r="BN137" s="175"/>
      <c r="BO137" s="175"/>
      <c r="BP137" s="250" t="str">
        <f t="shared" si="36"/>
        <v/>
      </c>
      <c r="BQ137" s="175"/>
      <c r="BR137" s="250"/>
      <c r="BS137" s="250" t="str">
        <f t="shared" si="15"/>
        <v/>
      </c>
      <c r="BT137" s="250" t="str">
        <f t="shared" si="37"/>
        <v/>
      </c>
      <c r="BU137" s="253" t="str">
        <f t="shared" si="33"/>
        <v/>
      </c>
      <c r="BV137" s="254" t="b">
        <f t="shared" si="17"/>
        <v>0</v>
      </c>
      <c r="BW137" s="175" t="str">
        <f t="shared" si="38"/>
        <v/>
      </c>
      <c r="BX137" s="44" t="b">
        <f t="shared" si="19"/>
        <v>0</v>
      </c>
      <c r="BY137" s="202" t="b">
        <f t="shared" si="20"/>
        <v>0</v>
      </c>
      <c r="BZ137" s="203">
        <f t="shared" si="25"/>
        <v>0</v>
      </c>
      <c r="CA137" s="175">
        <f t="shared" si="26"/>
        <v>0</v>
      </c>
      <c r="CB137" s="175"/>
      <c r="CC137" s="173"/>
      <c r="CD137" s="173"/>
    </row>
    <row r="138" ht="15.75" customHeight="1">
      <c r="A138" s="11"/>
      <c r="B138" s="221" t="str">
        <f>IF(B136="","",B136+7)</f>
        <v/>
      </c>
      <c r="C138" s="222"/>
      <c r="D138" s="223" t="str">
        <f t="shared" si="27"/>
        <v>Weight</v>
      </c>
      <c r="E138" s="224"/>
      <c r="F138" s="300"/>
      <c r="G138" s="225"/>
      <c r="H138" s="225"/>
      <c r="I138" s="225"/>
      <c r="J138" s="225"/>
      <c r="K138" s="225"/>
      <c r="L138" s="284" t="str">
        <f t="shared" si="6"/>
        <v/>
      </c>
      <c r="M138" s="227"/>
      <c r="N138" s="302"/>
      <c r="O138" s="302"/>
      <c r="P138" s="302"/>
      <c r="Q138" s="276" t="str">
        <f>BL138</f>
        <v/>
      </c>
      <c r="R138" s="228"/>
      <c r="S138" s="230" t="str">
        <f>IFERROR(__xludf.DUMMYFUNCTION("IF(L138="""","""",(L138-index(filter($L$36:L136,$L$36:L136&lt;&gt;"""",ISEVEN(row($L$36:L136))),count(filter($L$36:L136,$L$36:L136&lt;&gt;"""",iseven(row($L$36:L136)))),1)))"),"")</f>
        <v/>
      </c>
      <c r="T138" s="231"/>
      <c r="U138" s="232" t="str">
        <f>if(BD$24=FALSE,"",IF(L138="","",BC138))</f>
        <v/>
      </c>
      <c r="V138" s="233"/>
      <c r="W138" s="234">
        <f>IF(count(S138:S139)&gt;1,1,0)</f>
        <v>0</v>
      </c>
      <c r="X138" s="235" t="str">
        <f>if(Y138="","","Week 52")</f>
        <v/>
      </c>
      <c r="Y138" s="236" t="str">
        <f>IF(S138="","",text(B138,"MMM-YY"))</f>
        <v/>
      </c>
      <c r="Z138" s="173"/>
      <c r="AA138" s="173"/>
      <c r="AB138" s="173"/>
      <c r="AC138" s="173"/>
      <c r="AD138" s="173"/>
      <c r="AE138" s="173"/>
      <c r="AF138" s="173"/>
      <c r="AG138" s="173"/>
      <c r="AH138" s="173"/>
      <c r="AI138" s="173"/>
      <c r="AJ138" s="296">
        <f>AJ136+1</f>
        <v>52</v>
      </c>
      <c r="AK138" s="277">
        <v>51.0</v>
      </c>
      <c r="AL138" s="54">
        <f t="shared" si="10"/>
        <v>0</v>
      </c>
      <c r="AM138" s="198" t="str">
        <f>IF(K138="",AM136,K138)</f>
        <v/>
      </c>
      <c r="AN138" s="54"/>
      <c r="AO138" s="241"/>
      <c r="AP138" s="242" t="str">
        <f t="shared" si="22"/>
        <v/>
      </c>
      <c r="AQ138" s="242" t="str">
        <f t="shared" ref="AQ138:AV138" si="182">IF(F138="",AP138,F138)</f>
        <v/>
      </c>
      <c r="AR138" s="242" t="str">
        <f t="shared" si="182"/>
        <v/>
      </c>
      <c r="AS138" s="242" t="str">
        <f t="shared" si="182"/>
        <v/>
      </c>
      <c r="AT138" s="242" t="str">
        <f t="shared" si="182"/>
        <v/>
      </c>
      <c r="AU138" s="242" t="str">
        <f t="shared" si="182"/>
        <v/>
      </c>
      <c r="AV138" s="242" t="str">
        <f t="shared" si="182"/>
        <v/>
      </c>
      <c r="AW138" s="278" t="str">
        <f t="shared" si="30"/>
        <v/>
      </c>
      <c r="AX138" s="244">
        <f>if(AND(AW138=AX$34,$AL138&gt;0),ROW(),0)</f>
        <v>0</v>
      </c>
      <c r="AY138" s="244">
        <f>if(AND(AW138=AY$34,$AL138&gt;0),ROW(),0)</f>
        <v>0</v>
      </c>
      <c r="AZ138" s="279" t="str">
        <f>IF(AW138="","",AW138-AW136)</f>
        <v/>
      </c>
      <c r="BA138" s="246">
        <f>if(BB138&gt;0,row(),0)</f>
        <v>138</v>
      </c>
      <c r="BB138" s="246">
        <f>max(if(E138=AW$30,COLUMN(E138),0),if(F138=AW$30,COLUMN(F138),0),if(G138=AW$30,COLUMN(G138),0),if(H138=AW$30,COLUMN(H138),0),if(I138=AW$30,COLUMN(I138),0),if(J138=AW$30,COLUMN(J138),0),if(K138=AW$30,COLUMN(K138),0))</f>
        <v>11</v>
      </c>
      <c r="BC138" s="247" t="str">
        <f>IF(BD138="","",IF(AZ138="","",BD138))</f>
        <v/>
      </c>
      <c r="BD138" s="248">
        <f>IF(AL138=0,BD136,IF(AL139=0,BD136,((AW139+(((-AZ138)*$BD$7)/AL139)+sum($BE$38:BE136))/AK138)))</f>
        <v>0</v>
      </c>
      <c r="BE138" s="249">
        <f>IF(AL138=0,BE136,IF(AL139=0,BE136,AW139+(((-AZ138)*$BD$7)/AL139)))</f>
        <v>0</v>
      </c>
      <c r="BF138" s="54"/>
      <c r="BG138" s="54"/>
      <c r="BH138" s="54"/>
      <c r="BI138" s="54"/>
      <c r="BJ138" s="173" t="str">
        <f>text(B138,"YYYY MMM")</f>
        <v/>
      </c>
      <c r="BK138" s="173"/>
      <c r="BL138" s="174" t="str">
        <f>if($G$13="Disable","", if($G$9="","",if(and($G$9="Male",count($N138:$O138)&lt;&gt;2),"",
if(and($G$9="Male",count($N138:$O138)=2),round(if($N138="","",
     if($G$14="cm",86.01*log($N138-$O138)-70.041*log($G$15)+30.3,
     if($G$14="inch",86.01*log(($N138-$O138)*2.54)-70.041*log($G$15*2.54)+30.3))),0),                                         
if(and($G$9="Female",count($N138:$P138)&lt;&gt;3),"",
if(and($G$9="Female",count($N138:$P138)=3),round(if($N138="","",
        if($G$14="cm",495/(1.29579-0.35004*log10($N138+$P138-$O138)+0.221 * log10($G$15))-450,
        if($G$14="inch",495/(1.29579-0.35004*log10(($N138+$P138-$O138)*2.54)+0.221 * log10($G$15*2.54))-450))),0)))))))</f>
        <v/>
      </c>
      <c r="BM138" s="173"/>
      <c r="BN138" s="175"/>
      <c r="BO138" s="175"/>
      <c r="BP138" s="250" t="str">
        <f t="shared" si="36"/>
        <v/>
      </c>
      <c r="BQ138" s="175"/>
      <c r="BR138" s="250"/>
      <c r="BS138" s="250" t="str">
        <f t="shared" si="15"/>
        <v/>
      </c>
      <c r="BT138" s="250" t="str">
        <f t="shared" si="37"/>
        <v/>
      </c>
      <c r="BU138" s="253" t="str">
        <f t="shared" si="33"/>
        <v/>
      </c>
      <c r="BV138" s="254" t="b">
        <f t="shared" si="17"/>
        <v>0</v>
      </c>
      <c r="BW138" s="175" t="str">
        <f t="shared" si="38"/>
        <v/>
      </c>
      <c r="BX138" s="44" t="b">
        <f t="shared" si="19"/>
        <v>0</v>
      </c>
      <c r="BY138" s="202" t="b">
        <f t="shared" si="20"/>
        <v>0</v>
      </c>
      <c r="BZ138" s="203">
        <f t="shared" si="25"/>
        <v>0</v>
      </c>
      <c r="CA138" s="175">
        <f t="shared" si="26"/>
        <v>0</v>
      </c>
      <c r="CB138" s="175"/>
      <c r="CC138" s="173"/>
      <c r="CD138" s="173"/>
    </row>
    <row r="139" ht="15.75" customHeight="1">
      <c r="A139" s="11"/>
      <c r="B139" s="255"/>
      <c r="C139" s="256"/>
      <c r="D139" s="257" t="str">
        <f t="shared" si="27"/>
        <v>Calories</v>
      </c>
      <c r="E139" s="258"/>
      <c r="F139" s="280"/>
      <c r="G139" s="259"/>
      <c r="H139" s="259"/>
      <c r="I139" s="259"/>
      <c r="J139" s="259"/>
      <c r="K139" s="259"/>
      <c r="L139" s="260" t="str">
        <f t="shared" si="6"/>
        <v/>
      </c>
      <c r="M139" s="261"/>
      <c r="N139" s="255"/>
      <c r="O139" s="255"/>
      <c r="P139" s="255"/>
      <c r="Q139" s="255"/>
      <c r="R139" s="255"/>
      <c r="S139" s="255"/>
      <c r="T139" s="231"/>
      <c r="U139" s="255"/>
      <c r="V139" s="233"/>
      <c r="W139" s="262"/>
      <c r="X139" s="262"/>
      <c r="Y139" s="263"/>
      <c r="Z139" s="173"/>
      <c r="AA139" s="173"/>
      <c r="AB139" s="173"/>
      <c r="AC139" s="173"/>
      <c r="AD139" s="173"/>
      <c r="AE139" s="173"/>
      <c r="AF139" s="173"/>
      <c r="AG139" s="173"/>
      <c r="AH139" s="173"/>
      <c r="AI139" s="173"/>
      <c r="AJ139" s="296">
        <f>AJ138+0.5</f>
        <v>52.5</v>
      </c>
      <c r="AK139" s="69"/>
      <c r="AL139" s="54">
        <f t="shared" si="10"/>
        <v>0</v>
      </c>
      <c r="AM139" s="183" t="str">
        <f>AM138</f>
        <v/>
      </c>
      <c r="AN139" s="54"/>
      <c r="AO139" s="267"/>
      <c r="AP139" s="242" t="str">
        <f t="shared" si="22"/>
        <v/>
      </c>
      <c r="AQ139" s="242" t="str">
        <f t="shared" ref="AQ139:AV139" si="183">IF(F139="",AP139,F139)</f>
        <v/>
      </c>
      <c r="AR139" s="242" t="str">
        <f t="shared" si="183"/>
        <v/>
      </c>
      <c r="AS139" s="242" t="str">
        <f t="shared" si="183"/>
        <v/>
      </c>
      <c r="AT139" s="242" t="str">
        <f t="shared" si="183"/>
        <v/>
      </c>
      <c r="AU139" s="242" t="str">
        <f t="shared" si="183"/>
        <v/>
      </c>
      <c r="AV139" s="242" t="str">
        <f t="shared" si="183"/>
        <v/>
      </c>
      <c r="AW139" s="268" t="str">
        <f t="shared" si="30"/>
        <v/>
      </c>
      <c r="AX139" s="269"/>
      <c r="AY139" s="270"/>
      <c r="AZ139" s="271"/>
      <c r="BA139" s="246"/>
      <c r="BB139" s="246"/>
      <c r="BC139" s="263"/>
      <c r="BD139" s="66"/>
      <c r="BE139" s="69"/>
      <c r="BF139" s="54"/>
      <c r="BG139" s="54"/>
      <c r="BH139" s="54"/>
      <c r="BI139" s="54"/>
      <c r="BK139" s="173"/>
      <c r="BM139" s="173"/>
      <c r="BN139" s="175"/>
      <c r="BO139" s="175"/>
      <c r="BP139" s="250" t="str">
        <f t="shared" si="36"/>
        <v/>
      </c>
      <c r="BQ139" s="175"/>
      <c r="BR139" s="250"/>
      <c r="BS139" s="250" t="str">
        <f t="shared" si="15"/>
        <v/>
      </c>
      <c r="BT139" s="250" t="str">
        <f t="shared" si="37"/>
        <v/>
      </c>
      <c r="BU139" s="253" t="str">
        <f t="shared" si="33"/>
        <v/>
      </c>
      <c r="BV139" s="254" t="b">
        <f t="shared" si="17"/>
        <v>0</v>
      </c>
      <c r="BW139" s="175" t="str">
        <f t="shared" si="38"/>
        <v/>
      </c>
      <c r="BX139" s="44" t="b">
        <f t="shared" si="19"/>
        <v>0</v>
      </c>
      <c r="BY139" s="202" t="b">
        <f t="shared" si="20"/>
        <v>0</v>
      </c>
      <c r="BZ139" s="203">
        <f t="shared" si="25"/>
        <v>0</v>
      </c>
      <c r="CA139" s="175">
        <f t="shared" si="26"/>
        <v>0</v>
      </c>
      <c r="CB139" s="175"/>
      <c r="CC139" s="173"/>
      <c r="CD139" s="173"/>
    </row>
    <row r="140" ht="15.75" customHeight="1">
      <c r="A140" s="11"/>
      <c r="B140" s="221" t="str">
        <f>IF(B138="","",B138+7)</f>
        <v/>
      </c>
      <c r="C140" s="222"/>
      <c r="D140" s="223" t="str">
        <f t="shared" si="27"/>
        <v>Weight</v>
      </c>
      <c r="E140" s="282"/>
      <c r="F140" s="274"/>
      <c r="G140" s="274"/>
      <c r="H140" s="297"/>
      <c r="I140" s="297"/>
      <c r="J140" s="297"/>
      <c r="K140" s="297"/>
      <c r="L140" s="284" t="str">
        <f t="shared" si="6"/>
        <v/>
      </c>
      <c r="M140" s="227"/>
      <c r="N140" s="302"/>
      <c r="O140" s="302"/>
      <c r="P140" s="302"/>
      <c r="Q140" s="276" t="str">
        <f>BL140</f>
        <v/>
      </c>
      <c r="R140" s="228"/>
      <c r="S140" s="230" t="str">
        <f>IFERROR(__xludf.DUMMYFUNCTION("IF(L140="""","""",(L140-index(filter($L$36:L138,$L$36:L138&lt;&gt;"""",ISEVEN(row($L$36:L138))),count(filter($L$36:L138,$L$36:L138&lt;&gt;"""",iseven(row($L$36:L138)))),1)))"),"")</f>
        <v/>
      </c>
      <c r="T140" s="231"/>
      <c r="U140" s="232" t="str">
        <f>if(BD$24=FALSE,"",IF(L140="","",BC140))</f>
        <v/>
      </c>
      <c r="V140" s="233"/>
      <c r="W140" s="234">
        <f>IF(count(S140:S141)&gt;1,1,0)</f>
        <v>0</v>
      </c>
      <c r="X140" s="235" t="str">
        <f>if(Y140="","","Week 53")</f>
        <v/>
      </c>
      <c r="Y140" s="236" t="str">
        <f>IF(S140="","",text(B140,"MMM-YY"))</f>
        <v/>
      </c>
      <c r="Z140" s="173"/>
      <c r="AA140" s="173"/>
      <c r="AB140" s="173"/>
      <c r="AC140" s="173"/>
      <c r="AD140" s="173"/>
      <c r="AE140" s="173"/>
      <c r="AF140" s="173"/>
      <c r="AG140" s="173"/>
      <c r="AH140" s="173"/>
      <c r="AI140" s="173"/>
      <c r="AJ140" s="296">
        <f>AJ138+1</f>
        <v>53</v>
      </c>
      <c r="AK140" s="277">
        <v>52.0</v>
      </c>
      <c r="AL140" s="54">
        <f t="shared" si="10"/>
        <v>0</v>
      </c>
      <c r="AM140" s="198" t="str">
        <f>IF(K140="",AM138,K140)</f>
        <v/>
      </c>
      <c r="AN140" s="54"/>
      <c r="AO140" s="241"/>
      <c r="AP140" s="242" t="str">
        <f t="shared" si="22"/>
        <v/>
      </c>
      <c r="AQ140" s="242" t="str">
        <f t="shared" ref="AQ140:AV140" si="184">IF(F140="",AP140,F140)</f>
        <v/>
      </c>
      <c r="AR140" s="242" t="str">
        <f t="shared" si="184"/>
        <v/>
      </c>
      <c r="AS140" s="242" t="str">
        <f t="shared" si="184"/>
        <v/>
      </c>
      <c r="AT140" s="242" t="str">
        <f t="shared" si="184"/>
        <v/>
      </c>
      <c r="AU140" s="242" t="str">
        <f t="shared" si="184"/>
        <v/>
      </c>
      <c r="AV140" s="242" t="str">
        <f t="shared" si="184"/>
        <v/>
      </c>
      <c r="AW140" s="278" t="str">
        <f t="shared" si="30"/>
        <v/>
      </c>
      <c r="AX140" s="244">
        <f>if(AND(AW140=AX$34,$AL140&gt;0),ROW(),0)</f>
        <v>0</v>
      </c>
      <c r="AY140" s="244">
        <f>if(AND(AW140=AY$34,$AL140&gt;0),ROW(),0)</f>
        <v>0</v>
      </c>
      <c r="AZ140" s="279" t="str">
        <f>IF(AW140="","",AW140-AW138)</f>
        <v/>
      </c>
      <c r="BA140" s="246">
        <f>if(BB140&gt;0,row(),0)</f>
        <v>140</v>
      </c>
      <c r="BB140" s="246">
        <f>max(if(E140=AW$30,COLUMN(E140),0),if(F140=AW$30,COLUMN(F140),0),if(G140=AW$30,COLUMN(G140),0),if(H140=AW$30,COLUMN(H140),0),if(I140=AW$30,COLUMN(I140),0),if(J140=AW$30,COLUMN(J140),0),if(K140=AW$30,COLUMN(K140),0))</f>
        <v>11</v>
      </c>
      <c r="BC140" s="247" t="str">
        <f>IF(BD140="","",IF(AZ140="","",BD140))</f>
        <v/>
      </c>
      <c r="BD140" s="248">
        <f>IF(AL140=0,BD138,IF(AL141=0,BD138,((AW141+(((-AZ140)*$BD$7)/AL141)+sum($BE$38:BE138))/AK140)))</f>
        <v>0</v>
      </c>
      <c r="BE140" s="249">
        <f>IF(AL140=0,BE138,IF(AL141=0,BE138,AW141+(((-AZ140)*$BD$7)/AL141)))</f>
        <v>0</v>
      </c>
      <c r="BF140" s="54"/>
      <c r="BG140" s="54"/>
      <c r="BH140" s="54"/>
      <c r="BI140" s="54"/>
      <c r="BJ140" s="173" t="str">
        <f>text(B140,"YYYY MMM")</f>
        <v/>
      </c>
      <c r="BK140" s="173"/>
      <c r="BL140" s="174" t="str">
        <f>if($G$13="Disable","", if($G$9="","",if(and($G$9="Male",count($N140:$O140)&lt;&gt;2),"",
if(and($G$9="Male",count($N140:$O140)=2),round(if($N140="","",
     if($G$14="cm",86.01*log($N140-$O140)-70.041*log($G$15)+30.3,
     if($G$14="inch",86.01*log(($N140-$O140)*2.54)-70.041*log($G$15*2.54)+30.3))),0),                                         
if(and($G$9="Female",count($N140:$P140)&lt;&gt;3),"",
if(and($G$9="Female",count($N140:$P140)=3),round(if($N140="","",
        if($G$14="cm",495/(1.29579-0.35004*log10($N140+$P140-$O140)+0.221 * log10($G$15))-450,
        if($G$14="inch",495/(1.29579-0.35004*log10(($N140+$P140-$O140)*2.54)+0.221 * log10($G$15*2.54))-450))),0)))))))</f>
        <v/>
      </c>
      <c r="BM140" s="173"/>
      <c r="BN140" s="175"/>
      <c r="BO140" s="175"/>
      <c r="BP140" s="250" t="str">
        <f t="shared" si="36"/>
        <v/>
      </c>
      <c r="BQ140" s="175"/>
      <c r="BR140" s="250"/>
      <c r="BS140" s="250" t="str">
        <f t="shared" si="15"/>
        <v/>
      </c>
      <c r="BT140" s="250" t="str">
        <f t="shared" si="37"/>
        <v/>
      </c>
      <c r="BU140" s="253" t="str">
        <f t="shared" si="33"/>
        <v/>
      </c>
      <c r="BV140" s="254" t="b">
        <f t="shared" si="17"/>
        <v>0</v>
      </c>
      <c r="BW140" s="175" t="str">
        <f t="shared" si="38"/>
        <v/>
      </c>
      <c r="BX140" s="44" t="b">
        <f t="shared" si="19"/>
        <v>0</v>
      </c>
      <c r="BY140" s="202" t="b">
        <f t="shared" si="20"/>
        <v>0</v>
      </c>
      <c r="BZ140" s="203">
        <f t="shared" si="25"/>
        <v>0</v>
      </c>
      <c r="CA140" s="175">
        <f t="shared" si="26"/>
        <v>0</v>
      </c>
      <c r="CB140" s="175"/>
      <c r="CC140" s="173"/>
      <c r="CD140" s="173"/>
    </row>
    <row r="141" ht="15.75" customHeight="1">
      <c r="A141" s="11"/>
      <c r="B141" s="255"/>
      <c r="C141" s="256"/>
      <c r="D141" s="257" t="str">
        <f t="shared" si="27"/>
        <v>Calories</v>
      </c>
      <c r="E141" s="285"/>
      <c r="F141" s="259"/>
      <c r="G141" s="298"/>
      <c r="H141" s="299"/>
      <c r="I141" s="299"/>
      <c r="J141" s="299"/>
      <c r="K141" s="299"/>
      <c r="L141" s="260" t="str">
        <f t="shared" si="6"/>
        <v/>
      </c>
      <c r="M141" s="261"/>
      <c r="N141" s="255"/>
      <c r="O141" s="255"/>
      <c r="P141" s="255"/>
      <c r="Q141" s="255"/>
      <c r="R141" s="255"/>
      <c r="S141" s="255"/>
      <c r="T141" s="231"/>
      <c r="U141" s="255"/>
      <c r="V141" s="233"/>
      <c r="W141" s="255"/>
      <c r="X141" s="255"/>
      <c r="Y141" s="305"/>
      <c r="Z141" s="173"/>
      <c r="AA141" s="173"/>
      <c r="AB141" s="173"/>
      <c r="AC141" s="173"/>
      <c r="AD141" s="173"/>
      <c r="AE141" s="173"/>
      <c r="AF141" s="173"/>
      <c r="AG141" s="173"/>
      <c r="AH141" s="173"/>
      <c r="AI141" s="173"/>
      <c r="AJ141" s="296">
        <f>AJ140+0.5</f>
        <v>53.5</v>
      </c>
      <c r="AK141" s="69"/>
      <c r="AL141" s="54">
        <f t="shared" si="10"/>
        <v>0</v>
      </c>
      <c r="AM141" s="183" t="str">
        <f>AM140</f>
        <v/>
      </c>
      <c r="AN141" s="54"/>
      <c r="AO141" s="267"/>
      <c r="AP141" s="242" t="str">
        <f t="shared" si="22"/>
        <v/>
      </c>
      <c r="AQ141" s="242" t="str">
        <f t="shared" ref="AQ141:AV141" si="185">IF(F141="",AP141,F141)</f>
        <v/>
      </c>
      <c r="AR141" s="242" t="str">
        <f t="shared" si="185"/>
        <v/>
      </c>
      <c r="AS141" s="242" t="str">
        <f t="shared" si="185"/>
        <v/>
      </c>
      <c r="AT141" s="242" t="str">
        <f t="shared" si="185"/>
        <v/>
      </c>
      <c r="AU141" s="242" t="str">
        <f t="shared" si="185"/>
        <v/>
      </c>
      <c r="AV141" s="242" t="str">
        <f t="shared" si="185"/>
        <v/>
      </c>
      <c r="AW141" s="268" t="str">
        <f t="shared" si="30"/>
        <v/>
      </c>
      <c r="AX141" s="269"/>
      <c r="AY141" s="270"/>
      <c r="AZ141" s="271"/>
      <c r="BA141" s="246"/>
      <c r="BB141" s="246"/>
      <c r="BC141" s="263"/>
      <c r="BD141" s="66"/>
      <c r="BE141" s="69"/>
      <c r="BF141" s="54"/>
      <c r="BG141" s="54"/>
      <c r="BH141" s="54"/>
      <c r="BI141" s="54"/>
      <c r="BK141" s="173"/>
      <c r="BM141" s="173"/>
      <c r="BN141" s="175"/>
      <c r="BO141" s="175"/>
      <c r="BP141" s="250" t="str">
        <f t="shared" si="36"/>
        <v/>
      </c>
      <c r="BQ141" s="175"/>
      <c r="BR141" s="250"/>
      <c r="BS141" s="250" t="str">
        <f t="shared" si="15"/>
        <v/>
      </c>
      <c r="BT141" s="250" t="str">
        <f t="shared" si="37"/>
        <v/>
      </c>
      <c r="BU141" s="253" t="str">
        <f t="shared" si="33"/>
        <v/>
      </c>
      <c r="BV141" s="254" t="b">
        <f t="shared" si="17"/>
        <v>0</v>
      </c>
      <c r="BW141" s="175" t="str">
        <f t="shared" si="38"/>
        <v/>
      </c>
      <c r="BX141" s="44" t="b">
        <f t="shared" si="19"/>
        <v>0</v>
      </c>
      <c r="BY141" s="202" t="b">
        <f t="shared" si="20"/>
        <v>0</v>
      </c>
      <c r="BZ141" s="203">
        <f t="shared" si="25"/>
        <v>0</v>
      </c>
      <c r="CA141" s="175">
        <f t="shared" si="26"/>
        <v>0</v>
      </c>
      <c r="CB141" s="175"/>
      <c r="CC141" s="173"/>
      <c r="CD141" s="173"/>
    </row>
    <row r="142" ht="15.75" customHeight="1">
      <c r="A142" s="11"/>
      <c r="B142" s="120"/>
      <c r="C142" s="120"/>
      <c r="D142" s="120"/>
      <c r="E142" s="120"/>
      <c r="F142" s="306"/>
      <c r="G142" s="307"/>
      <c r="H142" s="307"/>
      <c r="I142" s="307"/>
      <c r="J142" s="307"/>
      <c r="K142" s="307"/>
      <c r="L142" s="7"/>
      <c r="M142" s="7"/>
      <c r="N142" s="7"/>
      <c r="O142" s="7"/>
      <c r="P142" s="7"/>
      <c r="Q142" s="7"/>
      <c r="R142" s="7"/>
      <c r="S142" s="7"/>
      <c r="T142" s="7"/>
      <c r="U142" s="307"/>
      <c r="V142" s="138"/>
      <c r="W142" s="20"/>
      <c r="X142" s="7"/>
      <c r="Y142" s="7"/>
      <c r="Z142" s="7"/>
      <c r="AA142" s="7"/>
      <c r="AB142" s="7"/>
      <c r="AC142" s="7"/>
      <c r="AD142" s="7"/>
      <c r="AE142" s="7"/>
      <c r="AF142" s="7"/>
      <c r="AG142" s="7"/>
      <c r="AH142" s="7"/>
      <c r="AI142" s="7"/>
      <c r="AJ142" s="7"/>
      <c r="AK142" s="7"/>
      <c r="AL142" s="7"/>
      <c r="AM142" s="7"/>
      <c r="AN142" s="7"/>
      <c r="AO142" s="8"/>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9"/>
      <c r="BY142" s="10"/>
      <c r="BZ142" s="7"/>
      <c r="CA142" s="7"/>
      <c r="CB142" s="7"/>
      <c r="CC142" s="7"/>
      <c r="CD142" s="7"/>
    </row>
    <row r="143" ht="15.75" customHeight="1">
      <c r="BX143" s="9"/>
      <c r="BY143" s="9"/>
    </row>
    <row r="144" ht="15.75" customHeight="1">
      <c r="AX144" s="97"/>
      <c r="AY144" s="97"/>
      <c r="AZ144" s="97"/>
      <c r="BA144" s="308"/>
      <c r="BB144" s="97"/>
      <c r="BC144" s="97"/>
      <c r="BD144" s="97"/>
      <c r="BE144" s="97"/>
      <c r="BF144" s="97"/>
      <c r="BX144" s="9"/>
      <c r="BY144" s="9"/>
    </row>
    <row r="145" ht="15.75" customHeight="1">
      <c r="BA145" s="309"/>
      <c r="BB145" s="310"/>
      <c r="BC145" s="310"/>
      <c r="BD145" s="97"/>
      <c r="BE145" s="97"/>
      <c r="BX145" s="9"/>
      <c r="BY145" s="9"/>
    </row>
    <row r="146" ht="15.75" customHeight="1">
      <c r="BA146" s="309"/>
      <c r="BB146" s="311"/>
      <c r="BC146" s="310"/>
      <c r="BD146" s="97"/>
      <c r="BE146" s="97"/>
      <c r="BX146" s="9"/>
      <c r="BY146" s="9"/>
    </row>
    <row r="147" ht="15.75" customHeight="1">
      <c r="BA147" s="309"/>
      <c r="BB147" s="311"/>
      <c r="BC147" s="310"/>
      <c r="BD147" s="97"/>
      <c r="BE147" s="97"/>
      <c r="BX147" s="9"/>
      <c r="BY147" s="9"/>
    </row>
    <row r="148" ht="15.75" customHeight="1">
      <c r="BA148" s="309"/>
      <c r="BB148" s="311"/>
      <c r="BC148" s="311"/>
      <c r="BD148" s="97"/>
      <c r="BX148" s="9"/>
      <c r="BY148" s="9"/>
    </row>
    <row r="149" ht="15.75" customHeight="1">
      <c r="BA149" s="309"/>
      <c r="BB149" s="311"/>
      <c r="BC149" s="311"/>
      <c r="BD149" s="97"/>
      <c r="BX149" s="9"/>
      <c r="BY149" s="9"/>
    </row>
    <row r="150" ht="15.75" customHeight="1">
      <c r="BA150" s="309"/>
      <c r="BB150" s="311"/>
      <c r="BC150" s="311"/>
      <c r="BD150" s="97"/>
      <c r="BX150" s="9"/>
      <c r="BY150" s="9"/>
    </row>
    <row r="151" ht="15.75" customHeight="1">
      <c r="BA151" s="309"/>
      <c r="BB151" s="311"/>
      <c r="BC151" s="311"/>
      <c r="BD151" s="97"/>
      <c r="BX151" s="9"/>
      <c r="BY151" s="9"/>
    </row>
    <row r="152" ht="15.75" customHeight="1">
      <c r="BA152" s="309"/>
      <c r="BB152" s="311"/>
      <c r="BC152" s="311"/>
      <c r="BD152" s="97"/>
      <c r="BX152" s="9"/>
      <c r="BY152" s="9"/>
    </row>
    <row r="153" ht="15.75" customHeight="1">
      <c r="BA153" s="309"/>
      <c r="BB153" s="311"/>
      <c r="BC153" s="311"/>
      <c r="BD153" s="97"/>
      <c r="BX153" s="9"/>
      <c r="BY153" s="9"/>
    </row>
    <row r="154" ht="15.75" customHeight="1">
      <c r="BA154" s="309"/>
      <c r="BB154" s="311"/>
      <c r="BC154" s="311"/>
      <c r="BD154" s="97"/>
      <c r="BX154" s="9"/>
      <c r="BY154" s="9"/>
    </row>
    <row r="155" ht="15.75" customHeight="1">
      <c r="BA155" s="309"/>
      <c r="BB155" s="311"/>
      <c r="BC155" s="311"/>
      <c r="BD155" s="97"/>
      <c r="BX155" s="9"/>
      <c r="BY155" s="9"/>
    </row>
    <row r="156" ht="15.75" customHeight="1">
      <c r="BA156" s="309"/>
      <c r="BB156" s="311"/>
      <c r="BC156" s="311"/>
      <c r="BD156" s="97"/>
      <c r="BX156" s="9"/>
      <c r="BY156" s="9"/>
    </row>
    <row r="157" ht="15.75" customHeight="1">
      <c r="BA157" s="309"/>
      <c r="BB157" s="311"/>
      <c r="BC157" s="311"/>
      <c r="BD157" s="97"/>
      <c r="BX157" s="9"/>
      <c r="BY157" s="9"/>
    </row>
    <row r="158" ht="15.75" customHeight="1">
      <c r="BA158" s="309"/>
      <c r="BB158" s="311"/>
      <c r="BC158" s="311"/>
      <c r="BD158" s="97"/>
      <c r="BX158" s="9"/>
      <c r="BY158" s="9"/>
    </row>
    <row r="159" ht="15.75" customHeight="1">
      <c r="BA159" s="309"/>
      <c r="BB159" s="311"/>
      <c r="BC159" s="311"/>
      <c r="BD159" s="97"/>
      <c r="BX159" s="9"/>
      <c r="BY159" s="9"/>
    </row>
    <row r="160" ht="15.75" customHeight="1">
      <c r="BA160" s="309"/>
      <c r="BC160" s="311"/>
      <c r="BD160" s="97"/>
      <c r="BX160" s="9"/>
      <c r="BY160" s="9"/>
    </row>
    <row r="161" ht="15.75" customHeight="1">
      <c r="BA161" s="309"/>
      <c r="BC161" s="311"/>
      <c r="BD161" s="97"/>
      <c r="BX161" s="9"/>
      <c r="BY161" s="9"/>
    </row>
    <row r="162" ht="15.75" customHeight="1">
      <c r="BA162" s="309"/>
      <c r="BC162" s="311"/>
      <c r="BD162" s="97"/>
      <c r="BX162" s="9"/>
      <c r="BY162" s="9"/>
    </row>
    <row r="163" ht="15.75" customHeight="1">
      <c r="BA163" s="309"/>
      <c r="BC163" s="311"/>
      <c r="BD163" s="97"/>
      <c r="BX163" s="9"/>
      <c r="BY163" s="9"/>
    </row>
    <row r="164" ht="15.75" customHeight="1">
      <c r="BA164" s="309"/>
      <c r="BC164" s="311"/>
      <c r="BD164" s="97"/>
      <c r="BX164" s="9"/>
      <c r="BY164" s="9"/>
    </row>
    <row r="165" ht="15.75" customHeight="1">
      <c r="BA165" s="309"/>
      <c r="BC165" s="311"/>
      <c r="BD165" s="97"/>
      <c r="BX165" s="9"/>
      <c r="BY165" s="9"/>
    </row>
    <row r="166" ht="15.75" customHeight="1">
      <c r="BA166" s="309"/>
      <c r="BC166" s="311"/>
      <c r="BD166" s="97"/>
      <c r="BX166" s="9"/>
      <c r="BY166" s="9"/>
    </row>
    <row r="167" ht="15.75" customHeight="1">
      <c r="BA167" s="309"/>
      <c r="BC167" s="311"/>
      <c r="BD167" s="97"/>
      <c r="BX167" s="9"/>
      <c r="BY167" s="9"/>
    </row>
    <row r="168" ht="15.75" customHeight="1">
      <c r="BA168" s="309"/>
      <c r="BB168" s="97"/>
      <c r="BC168" s="311"/>
      <c r="BD168" s="97"/>
      <c r="BX168" s="9"/>
      <c r="BY168" s="9"/>
    </row>
    <row r="169" ht="15.75" customHeight="1">
      <c r="BA169" s="309"/>
      <c r="BB169" s="97"/>
      <c r="BC169" s="311"/>
      <c r="BD169" s="97"/>
      <c r="BX169" s="9"/>
      <c r="BY169" s="9"/>
    </row>
    <row r="170" ht="15.75" customHeight="1">
      <c r="BA170" s="309"/>
      <c r="BB170" s="97"/>
      <c r="BC170" s="311"/>
      <c r="BD170" s="97"/>
      <c r="BX170" s="9"/>
      <c r="BY170" s="9"/>
    </row>
    <row r="171" ht="15.75" customHeight="1">
      <c r="BA171" s="309"/>
      <c r="BB171" s="97"/>
      <c r="BC171" s="311"/>
      <c r="BD171" s="97"/>
      <c r="BX171" s="9"/>
      <c r="BY171" s="9"/>
    </row>
    <row r="172" ht="15.75" customHeight="1">
      <c r="BA172" s="309"/>
      <c r="BB172" s="97"/>
      <c r="BC172" s="311"/>
      <c r="BD172" s="97"/>
      <c r="BX172" s="9"/>
      <c r="BY172" s="9"/>
    </row>
    <row r="173" ht="15.75" customHeight="1">
      <c r="BA173" s="309"/>
      <c r="BB173" s="97"/>
      <c r="BC173" s="311"/>
      <c r="BD173" s="97"/>
      <c r="BX173" s="9"/>
      <c r="BY173" s="9"/>
    </row>
    <row r="174" ht="15.75" customHeight="1">
      <c r="BA174" s="309"/>
      <c r="BB174" s="97"/>
      <c r="BC174" s="311"/>
      <c r="BD174" s="97"/>
      <c r="BX174" s="9"/>
      <c r="BY174" s="9"/>
    </row>
    <row r="175" ht="15.75" customHeight="1">
      <c r="BA175" s="309"/>
      <c r="BB175" s="97"/>
      <c r="BC175" s="311"/>
      <c r="BD175" s="97"/>
      <c r="BX175" s="9"/>
      <c r="BY175" s="9"/>
    </row>
    <row r="176" ht="15.75" customHeight="1">
      <c r="BA176" s="309"/>
      <c r="BB176" s="97"/>
      <c r="BC176" s="311"/>
      <c r="BD176" s="97"/>
      <c r="BX176" s="9"/>
      <c r="BY176" s="9"/>
    </row>
    <row r="177" ht="15.75" customHeight="1">
      <c r="BA177" s="309"/>
      <c r="BB177" s="97"/>
      <c r="BC177" s="311"/>
      <c r="BD177" s="97"/>
      <c r="BX177" s="9"/>
      <c r="BY177" s="9"/>
    </row>
    <row r="178" ht="15.75" customHeight="1">
      <c r="BA178" s="309"/>
      <c r="BB178" s="97"/>
      <c r="BC178" s="311"/>
      <c r="BD178" s="97"/>
      <c r="BX178" s="9"/>
      <c r="BY178" s="9"/>
    </row>
    <row r="179" ht="15.75" customHeight="1">
      <c r="BA179" s="309"/>
      <c r="BB179" s="97"/>
      <c r="BC179" s="311"/>
      <c r="BD179" s="97"/>
      <c r="BX179" s="9"/>
      <c r="BY179" s="9"/>
    </row>
    <row r="180" ht="15.75" customHeight="1">
      <c r="BA180" s="309"/>
      <c r="BB180" s="97"/>
      <c r="BC180" s="311"/>
      <c r="BD180" s="97"/>
      <c r="BX180" s="9"/>
      <c r="BY180" s="9"/>
    </row>
    <row r="181" ht="15.75" customHeight="1">
      <c r="BA181" s="309"/>
      <c r="BB181" s="97"/>
      <c r="BC181" s="311"/>
      <c r="BD181" s="97"/>
      <c r="BX181" s="9"/>
      <c r="BY181" s="9"/>
    </row>
    <row r="182" ht="15.75" customHeight="1">
      <c r="BB182" s="97"/>
      <c r="BC182" s="311"/>
      <c r="BD182" s="97"/>
      <c r="BX182" s="9"/>
      <c r="BY182" s="9"/>
    </row>
    <row r="183" ht="15.75" customHeight="1">
      <c r="BB183" s="97"/>
      <c r="BC183" s="311"/>
      <c r="BD183" s="97"/>
      <c r="BX183" s="9"/>
      <c r="BY183" s="9"/>
    </row>
    <row r="184" ht="15.75" customHeight="1">
      <c r="BB184" s="97"/>
      <c r="BC184" s="311"/>
      <c r="BD184" s="97"/>
      <c r="BX184" s="9"/>
      <c r="BY184" s="9"/>
    </row>
    <row r="185" ht="15.75" customHeight="1">
      <c r="BB185" s="97"/>
      <c r="BC185" s="311"/>
      <c r="BD185" s="97"/>
      <c r="BX185" s="9"/>
      <c r="BY185" s="9"/>
    </row>
    <row r="186" ht="15.75" customHeight="1">
      <c r="BB186" s="97"/>
      <c r="BC186" s="311"/>
      <c r="BD186" s="97"/>
      <c r="BX186" s="9"/>
      <c r="BY186" s="9"/>
    </row>
    <row r="187" ht="15.75" customHeight="1">
      <c r="BB187" s="97"/>
      <c r="BC187" s="311"/>
      <c r="BD187" s="97"/>
      <c r="BX187" s="9"/>
      <c r="BY187" s="9"/>
    </row>
    <row r="188" ht="15.75" customHeight="1">
      <c r="BB188" s="97"/>
      <c r="BC188" s="311" t="str">
        <f t="shared" ref="BC188:BC199" si="186">if($AZ188&lt;&gt;"",if($G$13="Enable",if(BB188&lt;&gt;"",BB188,BC187),$G$8)*100,"")</f>
        <v/>
      </c>
      <c r="BD188" s="97" t="str">
        <f t="shared" ref="BD188:BD199" si="187">if($AZ188&lt;&gt;"",if($G$9="Male",if(and($G$5="lb",$BC188&lt;20),1,if(and($G$5="lb",$BC188&gt;=20,$BC188&lt;=25),0.8,if(and($G$5="lb",$BC188&gt;25),0.73,if(and($G$5="kg",$BC188&lt;20),2.2,if(and($G$5="kg",$BC188&gt;=20,$BC188&lt;=25),1.76,if(and($G$5="kg",$BC188&gt;25),1.606)))))),if($G$5="lb",0.8,1.7778)),"")</f>
        <v/>
      </c>
      <c r="BE188" t="str">
        <f t="shared" ref="BE188:BE203" si="188">if($AZ188&lt;&gt;"",if(abs((AZ188*$BD$18)-$BE187)&gt;=5,AZ188*$BD$18,$BE187),"")</f>
        <v/>
      </c>
      <c r="BX188" s="9"/>
      <c r="BY188" s="9"/>
    </row>
    <row r="189" ht="15.75" customHeight="1">
      <c r="BC189" s="311" t="str">
        <f t="shared" si="186"/>
        <v/>
      </c>
      <c r="BD189" s="97" t="str">
        <f t="shared" si="187"/>
        <v/>
      </c>
      <c r="BE189" t="str">
        <f t="shared" si="188"/>
        <v/>
      </c>
      <c r="BX189" s="9"/>
      <c r="BY189" s="9"/>
    </row>
    <row r="190" ht="15.75" customHeight="1">
      <c r="BC190" s="311" t="str">
        <f t="shared" si="186"/>
        <v/>
      </c>
      <c r="BD190" s="97" t="str">
        <f t="shared" si="187"/>
        <v/>
      </c>
      <c r="BE190" t="str">
        <f t="shared" si="188"/>
        <v/>
      </c>
      <c r="BX190" s="9"/>
      <c r="BY190" s="9"/>
    </row>
    <row r="191" ht="15.75" customHeight="1">
      <c r="BC191" s="311" t="str">
        <f t="shared" si="186"/>
        <v/>
      </c>
      <c r="BD191" s="97" t="str">
        <f t="shared" si="187"/>
        <v/>
      </c>
      <c r="BE191" t="str">
        <f t="shared" si="188"/>
        <v/>
      </c>
      <c r="BX191" s="9"/>
      <c r="BY191" s="9"/>
    </row>
    <row r="192" ht="15.75" customHeight="1">
      <c r="BC192" s="311" t="str">
        <f t="shared" si="186"/>
        <v/>
      </c>
      <c r="BD192" s="97" t="str">
        <f t="shared" si="187"/>
        <v/>
      </c>
      <c r="BE192" t="str">
        <f t="shared" si="188"/>
        <v/>
      </c>
      <c r="BX192" s="9"/>
      <c r="BY192" s="9"/>
    </row>
    <row r="193" ht="15.75" customHeight="1">
      <c r="BC193" s="311" t="str">
        <f t="shared" si="186"/>
        <v/>
      </c>
      <c r="BD193" s="97" t="str">
        <f t="shared" si="187"/>
        <v/>
      </c>
      <c r="BE193" t="str">
        <f t="shared" si="188"/>
        <v/>
      </c>
      <c r="BX193" s="9"/>
      <c r="BY193" s="9"/>
    </row>
    <row r="194" ht="15.75" customHeight="1">
      <c r="BC194" s="311" t="str">
        <f t="shared" si="186"/>
        <v/>
      </c>
      <c r="BD194" s="97" t="str">
        <f t="shared" si="187"/>
        <v/>
      </c>
      <c r="BE194" t="str">
        <f t="shared" si="188"/>
        <v/>
      </c>
      <c r="BX194" s="9"/>
      <c r="BY194" s="9"/>
    </row>
    <row r="195" ht="15.75" customHeight="1">
      <c r="BC195" s="311" t="str">
        <f t="shared" si="186"/>
        <v/>
      </c>
      <c r="BD195" s="97" t="str">
        <f t="shared" si="187"/>
        <v/>
      </c>
      <c r="BE195" t="str">
        <f t="shared" si="188"/>
        <v/>
      </c>
      <c r="BX195" s="9"/>
      <c r="BY195" s="9"/>
    </row>
    <row r="196" ht="15.75" customHeight="1">
      <c r="BC196" s="311" t="str">
        <f t="shared" si="186"/>
        <v/>
      </c>
      <c r="BD196" s="97" t="str">
        <f t="shared" si="187"/>
        <v/>
      </c>
      <c r="BE196" t="str">
        <f t="shared" si="188"/>
        <v/>
      </c>
      <c r="BX196" s="9"/>
      <c r="BY196" s="9"/>
    </row>
    <row r="197" ht="15.75" customHeight="1">
      <c r="BC197" s="311" t="str">
        <f t="shared" si="186"/>
        <v/>
      </c>
      <c r="BD197" s="97" t="str">
        <f t="shared" si="187"/>
        <v/>
      </c>
      <c r="BE197" t="str">
        <f t="shared" si="188"/>
        <v/>
      </c>
      <c r="BX197" s="9"/>
      <c r="BY197" s="9"/>
    </row>
    <row r="198" ht="15.75" customHeight="1">
      <c r="BC198" s="311" t="str">
        <f t="shared" si="186"/>
        <v/>
      </c>
      <c r="BD198" s="97" t="str">
        <f t="shared" si="187"/>
        <v/>
      </c>
      <c r="BE198" t="str">
        <f t="shared" si="188"/>
        <v/>
      </c>
      <c r="BX198" s="9"/>
      <c r="BY198" s="9"/>
    </row>
    <row r="199" ht="15.75" customHeight="1">
      <c r="BC199" s="311" t="str">
        <f t="shared" si="186"/>
        <v/>
      </c>
      <c r="BD199" s="97" t="str">
        <f t="shared" si="187"/>
        <v/>
      </c>
      <c r="BE199" t="str">
        <f t="shared" si="188"/>
        <v/>
      </c>
      <c r="BX199" s="9"/>
      <c r="BY199" s="9"/>
    </row>
    <row r="200" ht="15.75" customHeight="1">
      <c r="BE200" t="str">
        <f t="shared" si="188"/>
        <v/>
      </c>
      <c r="BX200" s="9"/>
      <c r="BY200" s="9"/>
    </row>
    <row r="201" ht="15.75" customHeight="1">
      <c r="BE201" t="str">
        <f t="shared" si="188"/>
        <v/>
      </c>
      <c r="BX201" s="9"/>
      <c r="BY201" s="9"/>
    </row>
    <row r="202" ht="15.75" customHeight="1">
      <c r="BE202" t="str">
        <f t="shared" si="188"/>
        <v/>
      </c>
      <c r="BX202" s="9"/>
      <c r="BY202" s="9"/>
    </row>
    <row r="203" ht="15.75" customHeight="1">
      <c r="BE203" t="str">
        <f t="shared" si="188"/>
        <v/>
      </c>
      <c r="BX203" s="9"/>
      <c r="BY203" s="9"/>
    </row>
    <row r="204" ht="15.75" customHeight="1">
      <c r="BX204" s="9"/>
      <c r="BY204" s="9"/>
    </row>
    <row r="205" ht="15.75" customHeight="1">
      <c r="BX205" s="9"/>
      <c r="BY205" s="9"/>
    </row>
    <row r="206" ht="15.75" customHeight="1">
      <c r="BX206" s="9"/>
      <c r="BY206" s="9"/>
    </row>
    <row r="207" ht="15.75" customHeight="1">
      <c r="BX207" s="9"/>
      <c r="BY207" s="9"/>
    </row>
    <row r="208" ht="15.75" customHeight="1">
      <c r="BX208" s="9"/>
      <c r="BY208" s="9"/>
    </row>
    <row r="209" ht="15.75" customHeight="1">
      <c r="BX209" s="9"/>
      <c r="BY209" s="9"/>
    </row>
    <row r="210" ht="15.75" customHeight="1">
      <c r="BX210" s="9"/>
      <c r="BY210" s="9"/>
    </row>
    <row r="211" ht="15.75" customHeight="1">
      <c r="BX211" s="9"/>
      <c r="BY211" s="9"/>
    </row>
    <row r="212" ht="15.75" customHeight="1">
      <c r="BX212" s="9"/>
      <c r="BY212" s="9"/>
    </row>
    <row r="213" ht="15.75" customHeight="1">
      <c r="BX213" s="9"/>
      <c r="BY213" s="9"/>
    </row>
    <row r="214" ht="15.75" customHeight="1">
      <c r="BX214" s="9"/>
      <c r="BY214" s="9"/>
    </row>
    <row r="215" ht="15.75" customHeight="1">
      <c r="BX215" s="9"/>
      <c r="BY215" s="9"/>
    </row>
    <row r="216" ht="15.75" customHeight="1">
      <c r="BX216" s="9"/>
      <c r="BY216" s="9"/>
    </row>
    <row r="217" ht="15.75" customHeight="1">
      <c r="BX217" s="9"/>
      <c r="BY217" s="9"/>
    </row>
    <row r="218" ht="15.75" customHeight="1">
      <c r="BX218" s="9"/>
      <c r="BY218" s="9"/>
    </row>
    <row r="219" ht="15.75" customHeight="1">
      <c r="BX219" s="9"/>
      <c r="BY219" s="9"/>
    </row>
    <row r="220" ht="15.75" customHeight="1">
      <c r="BX220" s="9"/>
      <c r="BY220" s="9"/>
    </row>
    <row r="221" ht="15.75" customHeight="1">
      <c r="BX221" s="9"/>
      <c r="BY221" s="9"/>
    </row>
    <row r="222" ht="15.75" customHeight="1">
      <c r="BX222" s="9"/>
      <c r="BY222" s="9"/>
    </row>
    <row r="223" ht="15.75" customHeight="1">
      <c r="BX223" s="9"/>
      <c r="BY223" s="9"/>
    </row>
    <row r="224" ht="15.75" customHeight="1">
      <c r="BX224" s="9"/>
      <c r="BY224" s="9"/>
    </row>
    <row r="225" ht="15.75" customHeight="1">
      <c r="BX225" s="9"/>
      <c r="BY225" s="9"/>
    </row>
    <row r="226" ht="15.75" customHeight="1">
      <c r="BX226" s="9"/>
      <c r="BY226" s="9"/>
    </row>
    <row r="227" ht="15.75" customHeight="1">
      <c r="BX227" s="9"/>
      <c r="BY227" s="9"/>
    </row>
    <row r="228" ht="15.75" customHeight="1">
      <c r="BX228" s="9"/>
      <c r="BY228" s="9"/>
    </row>
    <row r="229" ht="15.75" customHeight="1">
      <c r="BX229" s="9"/>
      <c r="BY229" s="9"/>
    </row>
    <row r="230" ht="15.75" customHeight="1">
      <c r="BX230" s="9"/>
      <c r="BY230" s="9"/>
    </row>
    <row r="231" ht="15.75" customHeight="1">
      <c r="BX231" s="9"/>
      <c r="BY231" s="9"/>
    </row>
    <row r="232" ht="15.75" customHeight="1">
      <c r="BX232" s="9"/>
      <c r="BY232" s="9"/>
    </row>
    <row r="233" ht="15.75" customHeight="1">
      <c r="BX233" s="9"/>
      <c r="BY233" s="9"/>
    </row>
    <row r="234" ht="15.75" customHeight="1">
      <c r="BX234" s="9"/>
      <c r="BY234" s="9"/>
    </row>
    <row r="235" ht="15.75" customHeight="1">
      <c r="BX235" s="9"/>
      <c r="BY235" s="9"/>
    </row>
    <row r="236" ht="15.75" customHeight="1">
      <c r="BX236" s="9"/>
      <c r="BY236" s="9"/>
    </row>
    <row r="237" ht="15.75" customHeight="1">
      <c r="BX237" s="9"/>
      <c r="BY237" s="9"/>
    </row>
    <row r="238" ht="15.75" customHeight="1">
      <c r="BX238" s="9"/>
      <c r="BY238" s="9"/>
    </row>
    <row r="239" ht="15.75" customHeight="1">
      <c r="BX239" s="9"/>
      <c r="BY239" s="9"/>
    </row>
    <row r="240" ht="15.75" customHeight="1">
      <c r="BX240" s="9"/>
      <c r="BY240" s="9"/>
    </row>
    <row r="241" ht="15.75" customHeight="1">
      <c r="BX241" s="9"/>
      <c r="BY241" s="9"/>
    </row>
    <row r="242" ht="15.75" customHeight="1">
      <c r="BX242" s="9"/>
      <c r="BY242" s="9"/>
    </row>
    <row r="243" ht="15.75" customHeight="1">
      <c r="BX243" s="9"/>
      <c r="BY243" s="9"/>
    </row>
    <row r="244" ht="15.75" customHeight="1">
      <c r="BX244" s="9"/>
      <c r="BY244" s="9"/>
    </row>
    <row r="245" ht="15.75" customHeight="1">
      <c r="BX245" s="9"/>
      <c r="BY245" s="9"/>
    </row>
    <row r="246" ht="15.75" customHeight="1">
      <c r="BX246" s="9"/>
      <c r="BY246" s="9"/>
    </row>
    <row r="247" ht="15.75" customHeight="1">
      <c r="BX247" s="9"/>
      <c r="BY247" s="9"/>
    </row>
    <row r="248" ht="15.75" customHeight="1">
      <c r="BX248" s="9"/>
      <c r="BY248" s="9"/>
    </row>
    <row r="249" ht="15.75" customHeight="1">
      <c r="BX249" s="9"/>
      <c r="BY249" s="9"/>
    </row>
    <row r="250" ht="15.75" customHeight="1">
      <c r="BX250" s="9"/>
      <c r="BY250" s="9"/>
    </row>
    <row r="251" ht="15.75" customHeight="1">
      <c r="BX251" s="9"/>
      <c r="BY251" s="9"/>
    </row>
    <row r="252" ht="15.75" customHeight="1">
      <c r="BX252" s="9"/>
      <c r="BY252" s="9"/>
    </row>
    <row r="253" ht="15.75" customHeight="1">
      <c r="BX253" s="9"/>
      <c r="BY253" s="9"/>
    </row>
    <row r="254" ht="15.75" customHeight="1">
      <c r="BX254" s="9"/>
      <c r="BY254" s="9"/>
    </row>
    <row r="255" ht="15.75" customHeight="1">
      <c r="BX255" s="9"/>
      <c r="BY255" s="9"/>
    </row>
    <row r="256" ht="15.75" customHeight="1">
      <c r="BX256" s="9"/>
      <c r="BY256" s="9"/>
    </row>
    <row r="257" ht="15.75" customHeight="1">
      <c r="BX257" s="9"/>
      <c r="BY257" s="9"/>
    </row>
    <row r="258" ht="15.75" customHeight="1">
      <c r="BX258" s="9"/>
      <c r="BY258" s="9"/>
    </row>
    <row r="259" ht="15.75" customHeight="1">
      <c r="BX259" s="9"/>
      <c r="BY259" s="9"/>
    </row>
    <row r="260" ht="15.75" customHeight="1">
      <c r="BX260" s="9"/>
      <c r="BY260" s="9"/>
    </row>
    <row r="261" ht="15.75" customHeight="1">
      <c r="BX261" s="9"/>
      <c r="BY261" s="9"/>
    </row>
    <row r="262" ht="15.75" customHeight="1">
      <c r="BX262" s="9"/>
      <c r="BY262" s="9"/>
    </row>
    <row r="263" ht="15.75" customHeight="1">
      <c r="BX263" s="9"/>
      <c r="BY263" s="9"/>
    </row>
    <row r="264" ht="15.75" customHeight="1">
      <c r="BX264" s="9"/>
      <c r="BY264" s="9"/>
    </row>
    <row r="265" ht="15.75" customHeight="1">
      <c r="BX265" s="9"/>
      <c r="BY265" s="9"/>
    </row>
    <row r="266" ht="15.75" customHeight="1">
      <c r="BX266" s="9"/>
      <c r="BY266" s="9"/>
    </row>
    <row r="267" ht="15.75" customHeight="1">
      <c r="BX267" s="9"/>
      <c r="BY267" s="9"/>
    </row>
    <row r="268" ht="15.75" customHeight="1">
      <c r="BX268" s="9"/>
      <c r="BY268" s="9"/>
    </row>
    <row r="269" ht="15.75" customHeight="1">
      <c r="BX269" s="9"/>
      <c r="BY269" s="9"/>
    </row>
    <row r="270" ht="15.75" customHeight="1">
      <c r="BX270" s="9"/>
      <c r="BY270" s="9"/>
    </row>
    <row r="271" ht="15.75" customHeight="1">
      <c r="BX271" s="9"/>
      <c r="BY271" s="9"/>
    </row>
    <row r="272" ht="15.75" customHeight="1">
      <c r="BX272" s="9"/>
      <c r="BY272" s="9"/>
    </row>
    <row r="273" ht="15.75" customHeight="1">
      <c r="BX273" s="9"/>
      <c r="BY273" s="9"/>
    </row>
    <row r="274" ht="15.75" customHeight="1">
      <c r="BX274" s="9"/>
      <c r="BY274" s="9"/>
    </row>
    <row r="275" ht="15.75" customHeight="1">
      <c r="BX275" s="9"/>
      <c r="BY275" s="9"/>
    </row>
    <row r="276" ht="15.75" customHeight="1">
      <c r="BX276" s="9"/>
      <c r="BY276" s="9"/>
    </row>
    <row r="277" ht="15.75" customHeight="1">
      <c r="BX277" s="9"/>
      <c r="BY277" s="9"/>
    </row>
    <row r="278" ht="15.75" customHeight="1">
      <c r="BX278" s="9"/>
      <c r="BY278" s="9"/>
    </row>
    <row r="279" ht="15.75" customHeight="1">
      <c r="BX279" s="9"/>
      <c r="BY279" s="9"/>
    </row>
    <row r="280" ht="15.75" customHeight="1">
      <c r="BX280" s="9"/>
      <c r="BY280" s="9"/>
    </row>
    <row r="281" ht="15.75" customHeight="1">
      <c r="BX281" s="9"/>
      <c r="BY281" s="9"/>
    </row>
    <row r="282" ht="15.75" customHeight="1">
      <c r="BX282" s="9"/>
      <c r="BY282" s="9"/>
    </row>
    <row r="283" ht="15.75" customHeight="1">
      <c r="BX283" s="9"/>
      <c r="BY283" s="9"/>
    </row>
    <row r="284" ht="15.75" customHeight="1">
      <c r="BX284" s="9"/>
      <c r="BY284" s="9"/>
    </row>
    <row r="285" ht="15.75" customHeight="1">
      <c r="BX285" s="9"/>
      <c r="BY285" s="9"/>
    </row>
    <row r="286" ht="15.75" customHeight="1">
      <c r="BX286" s="9"/>
      <c r="BY286" s="9"/>
    </row>
    <row r="287" ht="15.75" customHeight="1">
      <c r="BX287" s="9"/>
      <c r="BY287" s="9"/>
    </row>
    <row r="288" ht="15.75" customHeight="1">
      <c r="BX288" s="9"/>
      <c r="BY288" s="9"/>
    </row>
    <row r="289" ht="15.75" customHeight="1">
      <c r="BX289" s="9"/>
      <c r="BY289" s="9"/>
    </row>
    <row r="290" ht="15.75" customHeight="1">
      <c r="BX290" s="9"/>
      <c r="BY290" s="9"/>
    </row>
    <row r="291" ht="15.75" customHeight="1">
      <c r="BX291" s="9"/>
      <c r="BY291" s="9"/>
    </row>
    <row r="292" ht="15.75" customHeight="1">
      <c r="BX292" s="9"/>
      <c r="BY292" s="9"/>
    </row>
    <row r="293" ht="15.75" customHeight="1">
      <c r="BX293" s="9"/>
      <c r="BY293" s="9"/>
    </row>
    <row r="294" ht="15.75" customHeight="1">
      <c r="BX294" s="9"/>
      <c r="BY294" s="9"/>
    </row>
    <row r="295" ht="15.75" customHeight="1">
      <c r="BX295" s="9"/>
      <c r="BY295" s="9"/>
    </row>
    <row r="296" ht="15.75" customHeight="1">
      <c r="BX296" s="9"/>
      <c r="BY296" s="9"/>
    </row>
    <row r="297" ht="15.75" customHeight="1">
      <c r="BX297" s="9"/>
      <c r="BY297" s="9"/>
    </row>
    <row r="298" ht="15.75" customHeight="1">
      <c r="BX298" s="9"/>
      <c r="BY298" s="9"/>
    </row>
    <row r="299" ht="15.75" customHeight="1">
      <c r="BX299" s="9"/>
      <c r="BY299" s="9"/>
    </row>
    <row r="300" ht="15.75" customHeight="1">
      <c r="BX300" s="9"/>
      <c r="BY300" s="9"/>
    </row>
    <row r="301" ht="15.75" customHeight="1">
      <c r="BX301" s="9"/>
      <c r="BY301" s="9"/>
    </row>
    <row r="302" ht="15.75" customHeight="1">
      <c r="BX302" s="9"/>
      <c r="BY302" s="9"/>
    </row>
    <row r="303" ht="15.75" customHeight="1">
      <c r="BX303" s="9"/>
      <c r="BY303" s="9"/>
    </row>
    <row r="304" ht="15.75" customHeight="1">
      <c r="BX304" s="9"/>
      <c r="BY304" s="9"/>
    </row>
    <row r="305" ht="15.75" customHeight="1">
      <c r="BX305" s="9"/>
      <c r="BY305" s="9"/>
    </row>
    <row r="306" ht="15.75" customHeight="1">
      <c r="BX306" s="9"/>
      <c r="BY306" s="9"/>
    </row>
    <row r="307" ht="15.75" customHeight="1">
      <c r="BX307" s="9"/>
      <c r="BY307" s="9"/>
    </row>
    <row r="308" ht="15.75" customHeight="1">
      <c r="BX308" s="9"/>
      <c r="BY308" s="9"/>
    </row>
    <row r="309" ht="15.75" customHeight="1">
      <c r="BX309" s="9"/>
      <c r="BY309" s="9"/>
    </row>
    <row r="310" ht="15.75" customHeight="1">
      <c r="BX310" s="9"/>
      <c r="BY310" s="9"/>
    </row>
    <row r="311" ht="15.75" customHeight="1">
      <c r="BX311" s="9"/>
      <c r="BY311" s="9"/>
    </row>
    <row r="312" ht="15.75" customHeight="1">
      <c r="BX312" s="9"/>
      <c r="BY312" s="9"/>
    </row>
    <row r="313" ht="15.75" customHeight="1">
      <c r="BX313" s="9"/>
      <c r="BY313" s="9"/>
    </row>
    <row r="314" ht="15.75" customHeight="1">
      <c r="BX314" s="9"/>
      <c r="BY314" s="9"/>
    </row>
    <row r="315" ht="15.75" customHeight="1">
      <c r="BX315" s="9"/>
      <c r="BY315" s="9"/>
    </row>
    <row r="316" ht="15.75" customHeight="1">
      <c r="BX316" s="9"/>
      <c r="BY316" s="9"/>
    </row>
    <row r="317" ht="15.75" customHeight="1">
      <c r="BX317" s="9"/>
      <c r="BY317" s="9"/>
    </row>
    <row r="318" ht="15.75" customHeight="1">
      <c r="BX318" s="9"/>
      <c r="BY318" s="9"/>
    </row>
    <row r="319" ht="15.75" customHeight="1">
      <c r="BX319" s="9"/>
      <c r="BY319" s="9"/>
    </row>
    <row r="320" ht="15.75" customHeight="1">
      <c r="BX320" s="9"/>
      <c r="BY320" s="9"/>
    </row>
    <row r="321" ht="15.75" customHeight="1">
      <c r="BX321" s="9"/>
      <c r="BY321" s="9"/>
    </row>
    <row r="322" ht="15.75" customHeight="1">
      <c r="BX322" s="9"/>
      <c r="BY322" s="9"/>
    </row>
    <row r="323" ht="15.75" customHeight="1">
      <c r="BX323" s="9"/>
      <c r="BY323" s="9"/>
    </row>
    <row r="324" ht="15.75" customHeight="1">
      <c r="BX324" s="9"/>
      <c r="BY324" s="9"/>
    </row>
    <row r="325" ht="15.75" customHeight="1">
      <c r="BX325" s="9"/>
      <c r="BY325" s="9"/>
    </row>
    <row r="326" ht="15.75" customHeight="1">
      <c r="BX326" s="9"/>
      <c r="BY326" s="9"/>
    </row>
    <row r="327" ht="15.75" customHeight="1">
      <c r="BX327" s="9"/>
      <c r="BY327" s="9"/>
    </row>
    <row r="328" ht="15.75" customHeight="1">
      <c r="BX328" s="9"/>
      <c r="BY328" s="9"/>
    </row>
    <row r="329" ht="15.75" customHeight="1">
      <c r="BX329" s="9"/>
      <c r="BY329" s="9"/>
    </row>
    <row r="330" ht="15.75" customHeight="1">
      <c r="BX330" s="9"/>
      <c r="BY330" s="9"/>
    </row>
    <row r="331" ht="15.75" customHeight="1">
      <c r="BX331" s="9"/>
      <c r="BY331" s="9"/>
    </row>
    <row r="332" ht="15.75" customHeight="1">
      <c r="BX332" s="9"/>
      <c r="BY332" s="9"/>
    </row>
    <row r="333" ht="15.75" customHeight="1">
      <c r="BX333" s="9"/>
      <c r="BY333" s="9"/>
    </row>
    <row r="334" ht="15.75" customHeight="1">
      <c r="BX334" s="9"/>
      <c r="BY334" s="9"/>
    </row>
    <row r="335" ht="15.75" customHeight="1">
      <c r="BX335" s="9"/>
      <c r="BY335" s="9"/>
    </row>
    <row r="336" ht="15.75" customHeight="1">
      <c r="BX336" s="9"/>
      <c r="BY336" s="9"/>
    </row>
    <row r="337" ht="15.75" customHeight="1">
      <c r="BX337" s="9"/>
      <c r="BY337" s="9"/>
    </row>
    <row r="338" ht="15.75" customHeight="1">
      <c r="BX338" s="9"/>
      <c r="BY338" s="9"/>
    </row>
    <row r="339" ht="15.75" customHeight="1">
      <c r="BX339" s="9"/>
      <c r="BY339" s="9"/>
    </row>
    <row r="340" ht="15.75" customHeight="1">
      <c r="BX340" s="9"/>
      <c r="BY340" s="9"/>
    </row>
    <row r="341" ht="15.75" customHeight="1">
      <c r="BX341" s="9"/>
      <c r="BY341" s="9"/>
    </row>
    <row r="342" ht="15.75" customHeight="1">
      <c r="BX342" s="9"/>
      <c r="BY342" s="9"/>
    </row>
    <row r="343" ht="15.75" customHeight="1">
      <c r="BX343" s="9"/>
      <c r="BY343" s="9"/>
    </row>
    <row r="344" ht="15.75" customHeight="1">
      <c r="BX344" s="9"/>
      <c r="BY344" s="9"/>
    </row>
    <row r="345" ht="15.75" customHeight="1">
      <c r="BX345" s="9"/>
      <c r="BY345" s="9"/>
    </row>
    <row r="346" ht="15.75" customHeight="1">
      <c r="BX346" s="9"/>
      <c r="BY346" s="9"/>
    </row>
    <row r="347" ht="15.75" customHeight="1">
      <c r="BX347" s="9"/>
      <c r="BY347" s="9"/>
    </row>
    <row r="348" ht="15.75" customHeight="1">
      <c r="BX348" s="9"/>
      <c r="BY348" s="9"/>
    </row>
    <row r="349" ht="15.75" customHeight="1">
      <c r="BX349" s="9"/>
      <c r="BY349" s="9"/>
    </row>
    <row r="350" ht="15.75" customHeight="1">
      <c r="BX350" s="9"/>
      <c r="BY350" s="9"/>
    </row>
    <row r="351" ht="15.75" customHeight="1">
      <c r="BX351" s="9"/>
      <c r="BY351" s="9"/>
    </row>
    <row r="352" ht="15.75" customHeight="1">
      <c r="BX352" s="9"/>
      <c r="BY352" s="9"/>
    </row>
    <row r="353" ht="15.75" customHeight="1">
      <c r="BX353" s="9"/>
      <c r="BY353" s="9"/>
    </row>
    <row r="354" ht="15.75" customHeight="1">
      <c r="BX354" s="9"/>
      <c r="BY354" s="9"/>
    </row>
    <row r="355" ht="15.75" customHeight="1">
      <c r="BX355" s="9"/>
      <c r="BY355" s="9"/>
    </row>
    <row r="356" ht="15.75" customHeight="1">
      <c r="BX356" s="9"/>
      <c r="BY356" s="9"/>
    </row>
    <row r="357" ht="15.75" customHeight="1">
      <c r="BX357" s="9"/>
      <c r="BY357" s="9"/>
    </row>
    <row r="358" ht="15.75" customHeight="1">
      <c r="BX358" s="9"/>
      <c r="BY358" s="9"/>
    </row>
    <row r="359" ht="15.75" customHeight="1">
      <c r="BX359" s="9"/>
      <c r="BY359" s="9"/>
    </row>
    <row r="360" ht="15.75" customHeight="1">
      <c r="BX360" s="9"/>
      <c r="BY360" s="9"/>
    </row>
    <row r="361" ht="15.75" customHeight="1">
      <c r="BX361" s="9"/>
      <c r="BY361" s="9"/>
    </row>
    <row r="362" ht="15.75" customHeight="1">
      <c r="BX362" s="9"/>
      <c r="BY362" s="9"/>
    </row>
    <row r="363" ht="15.75" customHeight="1">
      <c r="BX363" s="9"/>
      <c r="BY363" s="9"/>
    </row>
    <row r="364" ht="15.75" customHeight="1">
      <c r="BX364" s="9"/>
      <c r="BY364" s="9"/>
    </row>
    <row r="365" ht="15.75" customHeight="1">
      <c r="BX365" s="9"/>
      <c r="BY365" s="9"/>
    </row>
    <row r="366" ht="15.75" customHeight="1">
      <c r="BX366" s="9"/>
      <c r="BY366" s="9"/>
    </row>
    <row r="367" ht="15.75" customHeight="1">
      <c r="BX367" s="9"/>
      <c r="BY367" s="9"/>
    </row>
    <row r="368" ht="15.75" customHeight="1">
      <c r="BX368" s="9"/>
      <c r="BY368" s="9"/>
    </row>
    <row r="369" ht="15.75" customHeight="1">
      <c r="BX369" s="9"/>
      <c r="BY369" s="9"/>
    </row>
    <row r="370" ht="15.75" customHeight="1">
      <c r="BX370" s="9"/>
      <c r="BY370" s="9"/>
    </row>
    <row r="371" ht="15.75" customHeight="1">
      <c r="BX371" s="9"/>
      <c r="BY371" s="9"/>
    </row>
    <row r="372" ht="15.75" customHeight="1">
      <c r="BX372" s="9"/>
      <c r="BY372" s="9"/>
    </row>
    <row r="373" ht="15.75" customHeight="1">
      <c r="BX373" s="9"/>
      <c r="BY373" s="9"/>
    </row>
    <row r="374" ht="15.75" customHeight="1">
      <c r="BX374" s="9"/>
      <c r="BY374" s="9"/>
    </row>
    <row r="375" ht="15.75" customHeight="1">
      <c r="BX375" s="9"/>
      <c r="BY375" s="9"/>
    </row>
    <row r="376" ht="15.75" customHeight="1">
      <c r="BX376" s="9"/>
      <c r="BY376" s="9"/>
    </row>
    <row r="377" ht="15.75" customHeight="1">
      <c r="BX377" s="9"/>
      <c r="BY377" s="9"/>
    </row>
    <row r="378" ht="15.75" customHeight="1">
      <c r="BX378" s="9"/>
      <c r="BY378" s="9"/>
    </row>
    <row r="379" ht="15.75" customHeight="1">
      <c r="BX379" s="9"/>
      <c r="BY379" s="9"/>
    </row>
    <row r="380" ht="15.75" customHeight="1">
      <c r="BX380" s="9"/>
      <c r="BY380" s="9"/>
    </row>
    <row r="381" ht="15.75" customHeight="1">
      <c r="BX381" s="9"/>
      <c r="BY381" s="9"/>
    </row>
    <row r="382" ht="15.75" customHeight="1">
      <c r="BX382" s="9"/>
      <c r="BY382" s="9"/>
    </row>
    <row r="383" ht="15.75" customHeight="1">
      <c r="BX383" s="9"/>
      <c r="BY383" s="9"/>
    </row>
    <row r="384" ht="15.75" customHeight="1">
      <c r="BX384" s="9"/>
      <c r="BY384" s="9"/>
    </row>
    <row r="385" ht="15.75" customHeight="1">
      <c r="BX385" s="9"/>
      <c r="BY385" s="9"/>
    </row>
    <row r="386" ht="15.75" customHeight="1">
      <c r="BX386" s="9"/>
      <c r="BY386" s="9"/>
    </row>
    <row r="387" ht="15.75" customHeight="1">
      <c r="BX387" s="9"/>
      <c r="BY387" s="9"/>
    </row>
    <row r="388" ht="15.75" customHeight="1">
      <c r="BX388" s="9"/>
      <c r="BY388" s="9"/>
    </row>
    <row r="389" ht="15.75" customHeight="1">
      <c r="BX389" s="9"/>
      <c r="BY389" s="9"/>
    </row>
    <row r="390" ht="15.75" customHeight="1">
      <c r="BX390" s="9"/>
      <c r="BY390" s="9"/>
    </row>
    <row r="391" ht="15.75" customHeight="1">
      <c r="BX391" s="9"/>
      <c r="BY391" s="9"/>
    </row>
    <row r="392" ht="15.75" customHeight="1">
      <c r="BX392" s="9"/>
      <c r="BY392" s="9"/>
    </row>
    <row r="393" ht="15.75" customHeight="1">
      <c r="BX393" s="9"/>
      <c r="BY393" s="9"/>
    </row>
    <row r="394" ht="15.75" customHeight="1">
      <c r="BX394" s="9"/>
      <c r="BY394" s="9"/>
    </row>
    <row r="395" ht="15.75" customHeight="1">
      <c r="BX395" s="9"/>
      <c r="BY395" s="9"/>
    </row>
    <row r="396" ht="15.75" customHeight="1">
      <c r="BX396" s="9"/>
      <c r="BY396" s="9"/>
    </row>
    <row r="397" ht="15.75" customHeight="1">
      <c r="BX397" s="9"/>
      <c r="BY397" s="9"/>
    </row>
    <row r="398" ht="15.75" customHeight="1">
      <c r="BX398" s="9"/>
      <c r="BY398" s="9"/>
    </row>
    <row r="399" ht="15.75" customHeight="1">
      <c r="BX399" s="9"/>
      <c r="BY399" s="9"/>
    </row>
    <row r="400" ht="15.75" customHeight="1">
      <c r="BX400" s="9"/>
      <c r="BY400" s="9"/>
    </row>
    <row r="401" ht="15.75" customHeight="1">
      <c r="BX401" s="9"/>
      <c r="BY401" s="9"/>
    </row>
    <row r="402" ht="15.75" customHeight="1">
      <c r="BX402" s="9"/>
      <c r="BY402" s="9"/>
    </row>
    <row r="403" ht="15.75" customHeight="1">
      <c r="BX403" s="9"/>
      <c r="BY403" s="9"/>
    </row>
    <row r="404" ht="15.75" customHeight="1">
      <c r="BX404" s="9"/>
      <c r="BY404" s="9"/>
    </row>
    <row r="405" ht="15.75" customHeight="1">
      <c r="BX405" s="9"/>
      <c r="BY405" s="9"/>
    </row>
    <row r="406" ht="15.75" customHeight="1">
      <c r="BX406" s="9"/>
      <c r="BY406" s="9"/>
    </row>
    <row r="407" ht="15.75" customHeight="1">
      <c r="BX407" s="9"/>
      <c r="BY407" s="9"/>
    </row>
    <row r="408" ht="15.75" customHeight="1">
      <c r="BX408" s="9"/>
      <c r="BY408" s="9"/>
    </row>
    <row r="409" ht="15.75" customHeight="1">
      <c r="BX409" s="9"/>
      <c r="BY409" s="9"/>
    </row>
    <row r="410" ht="15.75" customHeight="1">
      <c r="BX410" s="9"/>
      <c r="BY410" s="9"/>
    </row>
    <row r="411" ht="15.75" customHeight="1">
      <c r="BX411" s="9"/>
      <c r="BY411" s="9"/>
    </row>
    <row r="412" ht="15.75" customHeight="1">
      <c r="BX412" s="9"/>
      <c r="BY412" s="9"/>
    </row>
    <row r="413" ht="15.75" customHeight="1">
      <c r="BX413" s="9"/>
      <c r="BY413" s="9"/>
    </row>
    <row r="414" ht="15.75" customHeight="1">
      <c r="BX414" s="9"/>
      <c r="BY414" s="9"/>
    </row>
    <row r="415" ht="15.75" customHeight="1">
      <c r="BX415" s="9"/>
      <c r="BY415" s="9"/>
    </row>
    <row r="416" ht="15.75" customHeight="1">
      <c r="BX416" s="9"/>
      <c r="BY416" s="9"/>
    </row>
    <row r="417" ht="15.75" customHeight="1">
      <c r="BX417" s="9"/>
      <c r="BY417" s="9"/>
    </row>
    <row r="418" ht="15.75" customHeight="1">
      <c r="BX418" s="9"/>
      <c r="BY418" s="9"/>
    </row>
    <row r="419" ht="15.75" customHeight="1">
      <c r="BX419" s="9"/>
      <c r="BY419" s="9"/>
    </row>
    <row r="420" ht="15.75" customHeight="1">
      <c r="BX420" s="9"/>
      <c r="BY420" s="9"/>
    </row>
    <row r="421" ht="15.75" customHeight="1">
      <c r="BX421" s="9"/>
      <c r="BY421" s="9"/>
    </row>
    <row r="422" ht="15.75" customHeight="1">
      <c r="BX422" s="9"/>
      <c r="BY422" s="9"/>
    </row>
    <row r="423" ht="15.75" customHeight="1">
      <c r="BX423" s="9"/>
      <c r="BY423" s="9"/>
    </row>
    <row r="424" ht="15.75" customHeight="1">
      <c r="BX424" s="9"/>
      <c r="BY424" s="9"/>
    </row>
    <row r="425" ht="15.75" customHeight="1">
      <c r="BX425" s="9"/>
      <c r="BY425" s="9"/>
    </row>
    <row r="426" ht="15.75" customHeight="1">
      <c r="BX426" s="9"/>
      <c r="BY426" s="9"/>
    </row>
    <row r="427" ht="15.75" customHeight="1">
      <c r="BX427" s="9"/>
      <c r="BY427" s="9"/>
    </row>
    <row r="428" ht="15.75" customHeight="1">
      <c r="BX428" s="9"/>
      <c r="BY428" s="9"/>
    </row>
    <row r="429" ht="15.75" customHeight="1">
      <c r="BX429" s="9"/>
      <c r="BY429" s="9"/>
    </row>
    <row r="430" ht="15.75" customHeight="1">
      <c r="BX430" s="9"/>
      <c r="BY430" s="9"/>
    </row>
    <row r="431" ht="15.75" customHeight="1">
      <c r="BX431" s="9"/>
      <c r="BY431" s="9"/>
    </row>
    <row r="432" ht="15.75" customHeight="1">
      <c r="BX432" s="9"/>
      <c r="BY432" s="9"/>
    </row>
    <row r="433" ht="15.75" customHeight="1">
      <c r="BX433" s="9"/>
      <c r="BY433" s="9"/>
    </row>
    <row r="434" ht="15.75" customHeight="1">
      <c r="BX434" s="9"/>
      <c r="BY434" s="9"/>
    </row>
    <row r="435" ht="15.75" customHeight="1">
      <c r="BX435" s="9"/>
      <c r="BY435" s="9"/>
    </row>
    <row r="436" ht="15.75" customHeight="1">
      <c r="BX436" s="9"/>
      <c r="BY436" s="9"/>
    </row>
    <row r="437" ht="15.75" customHeight="1">
      <c r="BX437" s="9"/>
      <c r="BY437" s="9"/>
    </row>
    <row r="438" ht="15.75" customHeight="1">
      <c r="BX438" s="9"/>
      <c r="BY438" s="9"/>
    </row>
    <row r="439" ht="15.75" customHeight="1">
      <c r="BX439" s="9"/>
      <c r="BY439" s="9"/>
    </row>
    <row r="440" ht="15.75" customHeight="1">
      <c r="BX440" s="9"/>
      <c r="BY440" s="9"/>
    </row>
    <row r="441" ht="15.75" customHeight="1">
      <c r="BX441" s="9"/>
      <c r="BY441" s="9"/>
    </row>
    <row r="442" ht="15.75" customHeight="1">
      <c r="BX442" s="9"/>
      <c r="BY442" s="9"/>
    </row>
    <row r="443" ht="15.75" customHeight="1">
      <c r="BX443" s="9"/>
      <c r="BY443" s="9"/>
    </row>
    <row r="444" ht="15.75" customHeight="1">
      <c r="BX444" s="9"/>
      <c r="BY444" s="9"/>
    </row>
    <row r="445" ht="15.75" customHeight="1">
      <c r="BX445" s="9"/>
      <c r="BY445" s="9"/>
    </row>
    <row r="446" ht="15.75" customHeight="1">
      <c r="BX446" s="9"/>
      <c r="BY446" s="9"/>
    </row>
    <row r="447" ht="15.75" customHeight="1">
      <c r="BX447" s="9"/>
      <c r="BY447" s="9"/>
    </row>
    <row r="448" ht="15.75" customHeight="1">
      <c r="BX448" s="9"/>
      <c r="BY448" s="9"/>
    </row>
    <row r="449" ht="15.75" customHeight="1">
      <c r="BX449" s="9"/>
      <c r="BY449" s="9"/>
    </row>
    <row r="450" ht="15.75" customHeight="1">
      <c r="BX450" s="9"/>
      <c r="BY450" s="9"/>
    </row>
    <row r="451" ht="15.75" customHeight="1">
      <c r="BX451" s="9"/>
      <c r="BY451" s="9"/>
    </row>
    <row r="452" ht="15.75" customHeight="1">
      <c r="BX452" s="9"/>
      <c r="BY452" s="9"/>
    </row>
    <row r="453" ht="15.75" customHeight="1">
      <c r="BX453" s="9"/>
      <c r="BY453" s="9"/>
    </row>
    <row r="454" ht="15.75" customHeight="1">
      <c r="BX454" s="9"/>
      <c r="BY454" s="9"/>
    </row>
    <row r="455" ht="15.75" customHeight="1">
      <c r="BX455" s="9"/>
      <c r="BY455" s="9"/>
    </row>
    <row r="456" ht="15.75" customHeight="1">
      <c r="BX456" s="9"/>
      <c r="BY456" s="9"/>
    </row>
    <row r="457" ht="15.75" customHeight="1">
      <c r="BX457" s="9"/>
      <c r="BY457" s="9"/>
    </row>
    <row r="458" ht="15.75" customHeight="1">
      <c r="BX458" s="9"/>
      <c r="BY458" s="9"/>
    </row>
    <row r="459" ht="15.75" customHeight="1">
      <c r="BX459" s="9"/>
      <c r="BY459" s="9"/>
    </row>
    <row r="460" ht="15.75" customHeight="1">
      <c r="BX460" s="9"/>
      <c r="BY460" s="9"/>
    </row>
    <row r="461" ht="15.75" customHeight="1">
      <c r="BX461" s="9"/>
      <c r="BY461" s="9"/>
    </row>
    <row r="462" ht="15.75" customHeight="1">
      <c r="BX462" s="9"/>
      <c r="BY462" s="9"/>
    </row>
    <row r="463" ht="15.75" customHeight="1">
      <c r="BX463" s="9"/>
      <c r="BY463" s="9"/>
    </row>
    <row r="464" ht="15.75" customHeight="1">
      <c r="BX464" s="9"/>
      <c r="BY464" s="9"/>
    </row>
    <row r="465" ht="15.75" customHeight="1">
      <c r="BX465" s="9"/>
      <c r="BY465" s="9"/>
    </row>
    <row r="466" ht="15.75" customHeight="1">
      <c r="BX466" s="9"/>
      <c r="BY466" s="9"/>
    </row>
    <row r="467" ht="15.75" customHeight="1">
      <c r="BX467" s="9"/>
      <c r="BY467" s="9"/>
    </row>
    <row r="468" ht="15.75" customHeight="1">
      <c r="BX468" s="9"/>
      <c r="BY468" s="9"/>
    </row>
    <row r="469" ht="15.75" customHeight="1">
      <c r="BX469" s="9"/>
      <c r="BY469" s="9"/>
    </row>
    <row r="470" ht="15.75" customHeight="1">
      <c r="BX470" s="9"/>
      <c r="BY470" s="9"/>
    </row>
    <row r="471" ht="15.75" customHeight="1">
      <c r="BX471" s="9"/>
      <c r="BY471" s="9"/>
    </row>
    <row r="472" ht="15.75" customHeight="1">
      <c r="BX472" s="9"/>
      <c r="BY472" s="9"/>
    </row>
    <row r="473" ht="15.75" customHeight="1">
      <c r="BX473" s="9"/>
      <c r="BY473" s="9"/>
    </row>
    <row r="474" ht="15.75" customHeight="1">
      <c r="BX474" s="9"/>
      <c r="BY474" s="9"/>
    </row>
    <row r="475" ht="15.75" customHeight="1">
      <c r="BX475" s="9"/>
      <c r="BY475" s="9"/>
    </row>
    <row r="476" ht="15.75" customHeight="1">
      <c r="BX476" s="9"/>
      <c r="BY476" s="9"/>
    </row>
    <row r="477" ht="15.75" customHeight="1">
      <c r="BX477" s="9"/>
      <c r="BY477" s="9"/>
    </row>
    <row r="478" ht="15.75" customHeight="1">
      <c r="BX478" s="9"/>
      <c r="BY478" s="9"/>
    </row>
    <row r="479" ht="15.75" customHeight="1">
      <c r="BX479" s="9"/>
      <c r="BY479" s="9"/>
    </row>
    <row r="480" ht="15.75" customHeight="1">
      <c r="BX480" s="9"/>
      <c r="BY480" s="9"/>
    </row>
    <row r="481" ht="15.75" customHeight="1">
      <c r="BX481" s="9"/>
      <c r="BY481" s="9"/>
    </row>
    <row r="482" ht="15.75" customHeight="1">
      <c r="BX482" s="9"/>
      <c r="BY482" s="9"/>
    </row>
    <row r="483" ht="15.75" customHeight="1">
      <c r="BX483" s="9"/>
      <c r="BY483" s="9"/>
    </row>
    <row r="484" ht="15.75" customHeight="1">
      <c r="BX484" s="9"/>
      <c r="BY484" s="9"/>
    </row>
    <row r="485" ht="15.75" customHeight="1">
      <c r="BX485" s="9"/>
      <c r="BY485" s="9"/>
    </row>
    <row r="486" ht="15.75" customHeight="1">
      <c r="BX486" s="9"/>
      <c r="BY486" s="9"/>
    </row>
    <row r="487" ht="15.75" customHeight="1">
      <c r="BX487" s="9"/>
      <c r="BY487" s="9"/>
    </row>
    <row r="488" ht="15.75" customHeight="1">
      <c r="BX488" s="9"/>
      <c r="BY488" s="9"/>
    </row>
    <row r="489" ht="15.75" customHeight="1">
      <c r="BX489" s="9"/>
      <c r="BY489" s="9"/>
    </row>
    <row r="490" ht="15.75" customHeight="1">
      <c r="BX490" s="9"/>
      <c r="BY490" s="9"/>
    </row>
    <row r="491" ht="15.75" customHeight="1">
      <c r="BX491" s="9"/>
      <c r="BY491" s="9"/>
    </row>
    <row r="492" ht="15.75" customHeight="1">
      <c r="BX492" s="9"/>
      <c r="BY492" s="9"/>
    </row>
    <row r="493" ht="15.75" customHeight="1">
      <c r="BX493" s="9"/>
      <c r="BY493" s="9"/>
    </row>
    <row r="494" ht="15.75" customHeight="1">
      <c r="BX494" s="9"/>
      <c r="BY494" s="9"/>
    </row>
    <row r="495" ht="15.75" customHeight="1">
      <c r="BX495" s="9"/>
      <c r="BY495" s="9"/>
    </row>
    <row r="496" ht="15.75" customHeight="1">
      <c r="BX496" s="9"/>
      <c r="BY496" s="9"/>
    </row>
    <row r="497" ht="15.75" customHeight="1">
      <c r="BX497" s="9"/>
      <c r="BY497" s="9"/>
    </row>
    <row r="498" ht="15.75" customHeight="1">
      <c r="BX498" s="9"/>
      <c r="BY498" s="9"/>
    </row>
    <row r="499" ht="15.75" customHeight="1">
      <c r="BX499" s="9"/>
      <c r="BY499" s="9"/>
    </row>
    <row r="500" ht="15.75" customHeight="1">
      <c r="BX500" s="9"/>
      <c r="BY500" s="9"/>
    </row>
    <row r="501" ht="15.75" customHeight="1">
      <c r="BX501" s="9"/>
      <c r="BY501" s="9"/>
    </row>
    <row r="502" ht="15.75" customHeight="1">
      <c r="BX502" s="9"/>
      <c r="BY502" s="9"/>
    </row>
    <row r="503" ht="15.75" customHeight="1">
      <c r="BX503" s="9"/>
      <c r="BY503" s="9"/>
    </row>
    <row r="504" ht="15.75" customHeight="1">
      <c r="BX504" s="9"/>
      <c r="BY504" s="9"/>
    </row>
    <row r="505" ht="15.75" customHeight="1">
      <c r="BX505" s="9"/>
      <c r="BY505" s="9"/>
    </row>
    <row r="506" ht="15.75" customHeight="1">
      <c r="BX506" s="9"/>
      <c r="BY506" s="9"/>
    </row>
    <row r="507" ht="15.75" customHeight="1">
      <c r="BX507" s="9"/>
      <c r="BY507" s="9"/>
    </row>
    <row r="508" ht="15.75" customHeight="1">
      <c r="BX508" s="9"/>
      <c r="BY508" s="9"/>
    </row>
    <row r="509" ht="15.75" customHeight="1">
      <c r="BX509" s="9"/>
      <c r="BY509" s="9"/>
    </row>
    <row r="510" ht="15.75" customHeight="1">
      <c r="BX510" s="9"/>
      <c r="BY510" s="9"/>
    </row>
    <row r="511" ht="15.75" customHeight="1">
      <c r="BX511" s="9"/>
      <c r="BY511" s="9"/>
    </row>
    <row r="512" ht="15.75" customHeight="1">
      <c r="BX512" s="9"/>
      <c r="BY512" s="9"/>
    </row>
    <row r="513" ht="15.75" customHeight="1">
      <c r="BX513" s="9"/>
      <c r="BY513" s="9"/>
    </row>
    <row r="514" ht="15.75" customHeight="1">
      <c r="BX514" s="9"/>
      <c r="BY514" s="9"/>
    </row>
    <row r="515" ht="15.75" customHeight="1">
      <c r="BX515" s="9"/>
      <c r="BY515" s="9"/>
    </row>
    <row r="516" ht="15.75" customHeight="1">
      <c r="BX516" s="9"/>
      <c r="BY516" s="9"/>
    </row>
    <row r="517" ht="15.75" customHeight="1">
      <c r="BX517" s="9"/>
      <c r="BY517" s="9"/>
    </row>
    <row r="518" ht="15.75" customHeight="1">
      <c r="BX518" s="9"/>
      <c r="BY518" s="9"/>
    </row>
    <row r="519" ht="15.75" customHeight="1">
      <c r="BX519" s="9"/>
      <c r="BY519" s="9"/>
    </row>
    <row r="520" ht="15.75" customHeight="1">
      <c r="BX520" s="9"/>
      <c r="BY520" s="9"/>
    </row>
    <row r="521" ht="15.75" customHeight="1">
      <c r="BX521" s="9"/>
      <c r="BY521" s="9"/>
    </row>
    <row r="522" ht="15.75" customHeight="1">
      <c r="BX522" s="9"/>
      <c r="BY522" s="9"/>
    </row>
    <row r="523" ht="15.75" customHeight="1">
      <c r="BX523" s="9"/>
      <c r="BY523" s="9"/>
    </row>
    <row r="524" ht="15.75" customHeight="1">
      <c r="BX524" s="9"/>
      <c r="BY524" s="9"/>
    </row>
    <row r="525" ht="15.75" customHeight="1">
      <c r="BX525" s="9"/>
      <c r="BY525" s="9"/>
    </row>
    <row r="526" ht="15.75" customHeight="1">
      <c r="BX526" s="9"/>
      <c r="BY526" s="9"/>
    </row>
    <row r="527" ht="15.75" customHeight="1">
      <c r="BX527" s="9"/>
      <c r="BY527" s="9"/>
    </row>
    <row r="528" ht="15.75" customHeight="1">
      <c r="BX528" s="9"/>
      <c r="BY528" s="9"/>
    </row>
    <row r="529" ht="15.75" customHeight="1">
      <c r="BX529" s="9"/>
      <c r="BY529" s="9"/>
    </row>
    <row r="530" ht="15.75" customHeight="1">
      <c r="BX530" s="9"/>
      <c r="BY530" s="9"/>
    </row>
    <row r="531" ht="15.75" customHeight="1">
      <c r="BX531" s="9"/>
      <c r="BY531" s="9"/>
    </row>
    <row r="532" ht="15.75" customHeight="1">
      <c r="BX532" s="9"/>
      <c r="BY532" s="9"/>
    </row>
    <row r="533" ht="15.75" customHeight="1">
      <c r="BX533" s="9"/>
      <c r="BY533" s="9"/>
    </row>
    <row r="534" ht="15.75" customHeight="1">
      <c r="BX534" s="9"/>
      <c r="BY534" s="9"/>
    </row>
    <row r="535" ht="15.75" customHeight="1">
      <c r="BX535" s="9"/>
      <c r="BY535" s="9"/>
    </row>
    <row r="536" ht="15.75" customHeight="1">
      <c r="BX536" s="9"/>
      <c r="BY536" s="9"/>
    </row>
    <row r="537" ht="15.75" customHeight="1">
      <c r="BX537" s="9"/>
      <c r="BY537" s="9"/>
    </row>
    <row r="538" ht="15.75" customHeight="1">
      <c r="BX538" s="9"/>
      <c r="BY538" s="9"/>
    </row>
    <row r="539" ht="15.75" customHeight="1">
      <c r="BX539" s="9"/>
      <c r="BY539" s="9"/>
    </row>
    <row r="540" ht="15.75" customHeight="1">
      <c r="BX540" s="9"/>
      <c r="BY540" s="9"/>
    </row>
    <row r="541" ht="15.75" customHeight="1">
      <c r="BX541" s="9"/>
      <c r="BY541" s="9"/>
    </row>
    <row r="542" ht="15.75" customHeight="1">
      <c r="BX542" s="9"/>
      <c r="BY542" s="9"/>
    </row>
    <row r="543" ht="15.75" customHeight="1">
      <c r="BX543" s="9"/>
      <c r="BY543" s="9"/>
    </row>
    <row r="544" ht="15.75" customHeight="1">
      <c r="BX544" s="9"/>
      <c r="BY544" s="9"/>
    </row>
    <row r="545" ht="15.75" customHeight="1">
      <c r="BX545" s="9"/>
      <c r="BY545" s="9"/>
    </row>
    <row r="546" ht="15.75" customHeight="1">
      <c r="BX546" s="9"/>
      <c r="BY546" s="9"/>
    </row>
    <row r="547" ht="15.75" customHeight="1">
      <c r="BX547" s="9"/>
      <c r="BY547" s="9"/>
    </row>
    <row r="548" ht="15.75" customHeight="1">
      <c r="BX548" s="9"/>
      <c r="BY548" s="9"/>
    </row>
    <row r="549" ht="15.75" customHeight="1">
      <c r="BX549" s="9"/>
      <c r="BY549" s="9"/>
    </row>
    <row r="550" ht="15.75" customHeight="1">
      <c r="BX550" s="9"/>
      <c r="BY550" s="9"/>
    </row>
    <row r="551" ht="15.75" customHeight="1">
      <c r="BX551" s="9"/>
      <c r="BY551" s="9"/>
    </row>
    <row r="552" ht="15.75" customHeight="1">
      <c r="BX552" s="9"/>
      <c r="BY552" s="9"/>
    </row>
    <row r="553" ht="15.75" customHeight="1">
      <c r="BX553" s="9"/>
      <c r="BY553" s="9"/>
    </row>
    <row r="554" ht="15.75" customHeight="1">
      <c r="BX554" s="9"/>
      <c r="BY554" s="9"/>
    </row>
    <row r="555" ht="15.75" customHeight="1">
      <c r="BX555" s="9"/>
      <c r="BY555" s="9"/>
    </row>
    <row r="556" ht="15.75" customHeight="1">
      <c r="BX556" s="9"/>
      <c r="BY556" s="9"/>
    </row>
    <row r="557" ht="15.75" customHeight="1">
      <c r="BX557" s="9"/>
      <c r="BY557" s="9"/>
    </row>
    <row r="558" ht="15.75" customHeight="1">
      <c r="BX558" s="9"/>
      <c r="BY558" s="9"/>
    </row>
    <row r="559" ht="15.75" customHeight="1">
      <c r="BX559" s="9"/>
      <c r="BY559" s="9"/>
    </row>
    <row r="560" ht="15.75" customHeight="1">
      <c r="BX560" s="9"/>
      <c r="BY560" s="9"/>
    </row>
    <row r="561" ht="15.75" customHeight="1">
      <c r="BX561" s="9"/>
      <c r="BY561" s="9"/>
    </row>
    <row r="562" ht="15.75" customHeight="1">
      <c r="BX562" s="9"/>
      <c r="BY562" s="9"/>
    </row>
    <row r="563" ht="15.75" customHeight="1">
      <c r="BX563" s="9"/>
      <c r="BY563" s="9"/>
    </row>
    <row r="564" ht="15.75" customHeight="1">
      <c r="BX564" s="9"/>
      <c r="BY564" s="9"/>
    </row>
    <row r="565" ht="15.75" customHeight="1">
      <c r="BX565" s="9"/>
      <c r="BY565" s="9"/>
    </row>
    <row r="566" ht="15.75" customHeight="1">
      <c r="BX566" s="9"/>
      <c r="BY566" s="9"/>
    </row>
    <row r="567" ht="15.75" customHeight="1">
      <c r="BX567" s="9"/>
      <c r="BY567" s="9"/>
    </row>
    <row r="568" ht="15.75" customHeight="1">
      <c r="BX568" s="9"/>
      <c r="BY568" s="9"/>
    </row>
    <row r="569" ht="15.75" customHeight="1">
      <c r="BX569" s="9"/>
      <c r="BY569" s="9"/>
    </row>
    <row r="570" ht="15.75" customHeight="1">
      <c r="BX570" s="9"/>
      <c r="BY570" s="9"/>
    </row>
    <row r="571" ht="15.75" customHeight="1">
      <c r="BX571" s="9"/>
      <c r="BY571" s="9"/>
    </row>
    <row r="572" ht="15.75" customHeight="1">
      <c r="BX572" s="9"/>
      <c r="BY572" s="9"/>
    </row>
    <row r="573" ht="15.75" customHeight="1">
      <c r="BX573" s="9"/>
      <c r="BY573" s="9"/>
    </row>
    <row r="574" ht="15.75" customHeight="1">
      <c r="BX574" s="9"/>
      <c r="BY574" s="9"/>
    </row>
    <row r="575" ht="15.75" customHeight="1">
      <c r="BX575" s="9"/>
      <c r="BY575" s="9"/>
    </row>
    <row r="576" ht="15.75" customHeight="1">
      <c r="BX576" s="9"/>
      <c r="BY576" s="9"/>
    </row>
    <row r="577" ht="15.75" customHeight="1">
      <c r="BX577" s="9"/>
      <c r="BY577" s="9"/>
    </row>
    <row r="578" ht="15.75" customHeight="1">
      <c r="BX578" s="9"/>
      <c r="BY578" s="9"/>
    </row>
    <row r="579" ht="15.75" customHeight="1">
      <c r="BX579" s="9"/>
      <c r="BY579" s="9"/>
    </row>
    <row r="580" ht="15.75" customHeight="1">
      <c r="BX580" s="9"/>
      <c r="BY580" s="9"/>
    </row>
    <row r="581" ht="15.75" customHeight="1">
      <c r="BX581" s="9"/>
      <c r="BY581" s="9"/>
    </row>
    <row r="582" ht="15.75" customHeight="1">
      <c r="BX582" s="9"/>
      <c r="BY582" s="9"/>
    </row>
    <row r="583" ht="15.75" customHeight="1">
      <c r="BX583" s="9"/>
      <c r="BY583" s="9"/>
    </row>
    <row r="584" ht="15.75" customHeight="1">
      <c r="BX584" s="9"/>
      <c r="BY584" s="9"/>
    </row>
    <row r="585" ht="15.75" customHeight="1">
      <c r="BX585" s="9"/>
      <c r="BY585" s="9"/>
    </row>
    <row r="586" ht="15.75" customHeight="1">
      <c r="BX586" s="9"/>
      <c r="BY586" s="9"/>
    </row>
    <row r="587" ht="15.75" customHeight="1">
      <c r="BX587" s="9"/>
      <c r="BY587" s="9"/>
    </row>
    <row r="588" ht="15.75" customHeight="1">
      <c r="BX588" s="9"/>
      <c r="BY588" s="9"/>
    </row>
    <row r="589" ht="15.75" customHeight="1">
      <c r="BX589" s="9"/>
      <c r="BY589" s="9"/>
    </row>
    <row r="590" ht="15.75" customHeight="1">
      <c r="BX590" s="9"/>
      <c r="BY590" s="9"/>
    </row>
    <row r="591" ht="15.75" customHeight="1">
      <c r="BX591" s="9"/>
      <c r="BY591" s="9"/>
    </row>
    <row r="592" ht="15.75" customHeight="1">
      <c r="BX592" s="9"/>
      <c r="BY592" s="9"/>
    </row>
    <row r="593" ht="15.75" customHeight="1">
      <c r="BX593" s="9"/>
      <c r="BY593" s="9"/>
    </row>
    <row r="594" ht="15.75" customHeight="1">
      <c r="BX594" s="9"/>
      <c r="BY594" s="9"/>
    </row>
    <row r="595" ht="15.75" customHeight="1">
      <c r="BX595" s="9"/>
      <c r="BY595" s="9"/>
    </row>
    <row r="596" ht="15.75" customHeight="1">
      <c r="BX596" s="9"/>
      <c r="BY596" s="9"/>
    </row>
    <row r="597" ht="15.75" customHeight="1">
      <c r="BX597" s="9"/>
      <c r="BY597" s="9"/>
    </row>
    <row r="598" ht="15.75" customHeight="1">
      <c r="BX598" s="9"/>
      <c r="BY598" s="9"/>
    </row>
    <row r="599" ht="15.75" customHeight="1">
      <c r="BX599" s="9"/>
      <c r="BY599" s="9"/>
    </row>
    <row r="600" ht="15.75" customHeight="1">
      <c r="BX600" s="9"/>
      <c r="BY600" s="9"/>
    </row>
    <row r="601" ht="15.75" customHeight="1">
      <c r="BX601" s="9"/>
      <c r="BY601" s="9"/>
    </row>
    <row r="602" ht="15.75" customHeight="1">
      <c r="BX602" s="9"/>
      <c r="BY602" s="9"/>
    </row>
    <row r="603" ht="15.75" customHeight="1">
      <c r="BX603" s="9"/>
      <c r="BY603" s="9"/>
    </row>
    <row r="604" ht="15.75" customHeight="1">
      <c r="BX604" s="9"/>
      <c r="BY604" s="9"/>
    </row>
    <row r="605" ht="15.75" customHeight="1">
      <c r="BX605" s="9"/>
      <c r="BY605" s="9"/>
    </row>
    <row r="606" ht="15.75" customHeight="1">
      <c r="BX606" s="9"/>
      <c r="BY606" s="9"/>
    </row>
    <row r="607" ht="15.75" customHeight="1">
      <c r="BX607" s="9"/>
      <c r="BY607" s="9"/>
    </row>
    <row r="608" ht="15.75" customHeight="1">
      <c r="BX608" s="9"/>
      <c r="BY608" s="9"/>
    </row>
    <row r="609" ht="15.75" customHeight="1">
      <c r="BX609" s="9"/>
      <c r="BY609" s="9"/>
    </row>
    <row r="610" ht="15.75" customHeight="1">
      <c r="BX610" s="9"/>
      <c r="BY610" s="9"/>
    </row>
    <row r="611" ht="15.75" customHeight="1">
      <c r="BX611" s="9"/>
      <c r="BY611" s="9"/>
    </row>
    <row r="612" ht="15.75" customHeight="1">
      <c r="BX612" s="9"/>
      <c r="BY612" s="9"/>
    </row>
    <row r="613" ht="15.75" customHeight="1">
      <c r="BX613" s="9"/>
      <c r="BY613" s="9"/>
    </row>
    <row r="614" ht="15.75" customHeight="1">
      <c r="BX614" s="9"/>
      <c r="BY614" s="9"/>
    </row>
    <row r="615" ht="15.75" customHeight="1">
      <c r="BX615" s="9"/>
      <c r="BY615" s="9"/>
    </row>
    <row r="616" ht="15.75" customHeight="1">
      <c r="BX616" s="9"/>
      <c r="BY616" s="9"/>
    </row>
    <row r="617" ht="15.75" customHeight="1">
      <c r="BX617" s="9"/>
      <c r="BY617" s="9"/>
    </row>
    <row r="618" ht="15.75" customHeight="1">
      <c r="BX618" s="9"/>
      <c r="BY618" s="9"/>
    </row>
    <row r="619" ht="15.75" customHeight="1">
      <c r="BX619" s="9"/>
      <c r="BY619" s="9"/>
    </row>
    <row r="620" ht="15.75" customHeight="1">
      <c r="BX620" s="9"/>
      <c r="BY620" s="9"/>
    </row>
    <row r="621" ht="15.75" customHeight="1">
      <c r="BX621" s="9"/>
      <c r="BY621" s="9"/>
    </row>
    <row r="622" ht="15.75" customHeight="1">
      <c r="BX622" s="9"/>
      <c r="BY622" s="9"/>
    </row>
    <row r="623" ht="15.75" customHeight="1">
      <c r="BX623" s="9"/>
      <c r="BY623" s="9"/>
    </row>
    <row r="624" ht="15.75" customHeight="1">
      <c r="BX624" s="9"/>
      <c r="BY624" s="9"/>
    </row>
    <row r="625" ht="15.75" customHeight="1">
      <c r="BX625" s="9"/>
      <c r="BY625" s="9"/>
    </row>
    <row r="626" ht="15.75" customHeight="1">
      <c r="BX626" s="9"/>
      <c r="BY626" s="9"/>
    </row>
    <row r="627" ht="15.75" customHeight="1">
      <c r="BX627" s="9"/>
      <c r="BY627" s="9"/>
    </row>
    <row r="628" ht="15.75" customHeight="1">
      <c r="BX628" s="9"/>
      <c r="BY628" s="9"/>
    </row>
    <row r="629" ht="15.75" customHeight="1">
      <c r="BX629" s="9"/>
      <c r="BY629" s="9"/>
    </row>
    <row r="630" ht="15.75" customHeight="1">
      <c r="BX630" s="9"/>
      <c r="BY630" s="9"/>
    </row>
    <row r="631" ht="15.75" customHeight="1">
      <c r="BX631" s="9"/>
      <c r="BY631" s="9"/>
    </row>
    <row r="632" ht="15.75" customHeight="1">
      <c r="BX632" s="9"/>
      <c r="BY632" s="9"/>
    </row>
    <row r="633" ht="15.75" customHeight="1">
      <c r="BX633" s="9"/>
      <c r="BY633" s="9"/>
    </row>
    <row r="634" ht="15.75" customHeight="1">
      <c r="BX634" s="9"/>
      <c r="BY634" s="9"/>
    </row>
    <row r="635" ht="15.75" customHeight="1">
      <c r="BX635" s="9"/>
      <c r="BY635" s="9"/>
    </row>
    <row r="636" ht="15.75" customHeight="1">
      <c r="BX636" s="9"/>
      <c r="BY636" s="9"/>
    </row>
    <row r="637" ht="15.75" customHeight="1">
      <c r="BX637" s="9"/>
      <c r="BY637" s="9"/>
    </row>
    <row r="638" ht="15.75" customHeight="1">
      <c r="BX638" s="9"/>
      <c r="BY638" s="9"/>
    </row>
    <row r="639" ht="15.75" customHeight="1">
      <c r="BX639" s="9"/>
      <c r="BY639" s="9"/>
    </row>
    <row r="640" ht="15.75" customHeight="1">
      <c r="BX640" s="9"/>
      <c r="BY640" s="9"/>
    </row>
    <row r="641" ht="15.75" customHeight="1">
      <c r="BX641" s="9"/>
      <c r="BY641" s="9"/>
    </row>
    <row r="642" ht="15.75" customHeight="1">
      <c r="BX642" s="9"/>
      <c r="BY642" s="9"/>
    </row>
    <row r="643" ht="15.75" customHeight="1">
      <c r="BX643" s="9"/>
      <c r="BY643" s="9"/>
    </row>
    <row r="644" ht="15.75" customHeight="1">
      <c r="BX644" s="9"/>
      <c r="BY644" s="9"/>
    </row>
    <row r="645" ht="15.75" customHeight="1">
      <c r="BX645" s="9"/>
      <c r="BY645" s="9"/>
    </row>
    <row r="646" ht="15.75" customHeight="1">
      <c r="BX646" s="9"/>
      <c r="BY646" s="9"/>
    </row>
    <row r="647" ht="15.75" customHeight="1">
      <c r="BX647" s="9"/>
      <c r="BY647" s="9"/>
    </row>
    <row r="648" ht="15.75" customHeight="1">
      <c r="BX648" s="9"/>
      <c r="BY648" s="9"/>
    </row>
    <row r="649" ht="15.75" customHeight="1">
      <c r="BX649" s="9"/>
      <c r="BY649" s="9"/>
    </row>
    <row r="650" ht="15.75" customHeight="1">
      <c r="BX650" s="9"/>
      <c r="BY650" s="9"/>
    </row>
    <row r="651" ht="15.75" customHeight="1">
      <c r="BX651" s="9"/>
      <c r="BY651" s="9"/>
    </row>
    <row r="652" ht="15.75" customHeight="1">
      <c r="BX652" s="9"/>
      <c r="BY652" s="9"/>
    </row>
    <row r="653" ht="15.75" customHeight="1">
      <c r="BX653" s="9"/>
      <c r="BY653" s="9"/>
    </row>
    <row r="654" ht="15.75" customHeight="1">
      <c r="BX654" s="9"/>
      <c r="BY654" s="9"/>
    </row>
    <row r="655" ht="15.75" customHeight="1">
      <c r="BX655" s="9"/>
      <c r="BY655" s="9"/>
    </row>
    <row r="656" ht="15.75" customHeight="1">
      <c r="BX656" s="9"/>
      <c r="BY656" s="9"/>
    </row>
    <row r="657" ht="15.75" customHeight="1">
      <c r="BX657" s="9"/>
      <c r="BY657" s="9"/>
    </row>
    <row r="658" ht="15.75" customHeight="1">
      <c r="BX658" s="9"/>
      <c r="BY658" s="9"/>
    </row>
    <row r="659" ht="15.75" customHeight="1">
      <c r="BX659" s="9"/>
      <c r="BY659" s="9"/>
    </row>
    <row r="660" ht="15.75" customHeight="1">
      <c r="BX660" s="9"/>
      <c r="BY660" s="9"/>
    </row>
    <row r="661" ht="15.75" customHeight="1">
      <c r="BX661" s="9"/>
      <c r="BY661" s="9"/>
    </row>
    <row r="662" ht="15.75" customHeight="1">
      <c r="BX662" s="9"/>
      <c r="BY662" s="9"/>
    </row>
    <row r="663" ht="15.75" customHeight="1">
      <c r="BX663" s="9"/>
      <c r="BY663" s="9"/>
    </row>
    <row r="664" ht="15.75" customHeight="1">
      <c r="BX664" s="9"/>
      <c r="BY664" s="9"/>
    </row>
    <row r="665" ht="15.75" customHeight="1">
      <c r="BX665" s="9"/>
      <c r="BY665" s="9"/>
    </row>
    <row r="666" ht="15.75" customHeight="1">
      <c r="BX666" s="9"/>
      <c r="BY666" s="9"/>
    </row>
    <row r="667" ht="15.75" customHeight="1">
      <c r="BX667" s="9"/>
      <c r="BY667" s="9"/>
    </row>
    <row r="668" ht="15.75" customHeight="1">
      <c r="BX668" s="9"/>
      <c r="BY668" s="9"/>
    </row>
    <row r="669" ht="15.75" customHeight="1">
      <c r="BX669" s="9"/>
      <c r="BY669" s="9"/>
    </row>
    <row r="670" ht="15.75" customHeight="1">
      <c r="BX670" s="9"/>
      <c r="BY670" s="9"/>
    </row>
    <row r="671" ht="15.75" customHeight="1">
      <c r="BX671" s="9"/>
      <c r="BY671" s="9"/>
    </row>
    <row r="672" ht="15.75" customHeight="1">
      <c r="BX672" s="9"/>
      <c r="BY672" s="9"/>
    </row>
    <row r="673" ht="15.75" customHeight="1">
      <c r="BX673" s="9"/>
      <c r="BY673" s="9"/>
    </row>
    <row r="674" ht="15.75" customHeight="1">
      <c r="BX674" s="9"/>
      <c r="BY674" s="9"/>
    </row>
    <row r="675" ht="15.75" customHeight="1">
      <c r="BX675" s="9"/>
      <c r="BY675" s="9"/>
    </row>
    <row r="676" ht="15.75" customHeight="1">
      <c r="BX676" s="9"/>
      <c r="BY676" s="9"/>
    </row>
    <row r="677" ht="15.75" customHeight="1">
      <c r="BX677" s="9"/>
      <c r="BY677" s="9"/>
    </row>
    <row r="678" ht="15.75" customHeight="1">
      <c r="BX678" s="9"/>
      <c r="BY678" s="9"/>
    </row>
    <row r="679" ht="15.75" customHeight="1">
      <c r="BX679" s="9"/>
      <c r="BY679" s="9"/>
    </row>
    <row r="680" ht="15.75" customHeight="1">
      <c r="BX680" s="9"/>
      <c r="BY680" s="9"/>
    </row>
    <row r="681" ht="15.75" customHeight="1">
      <c r="BX681" s="9"/>
      <c r="BY681" s="9"/>
    </row>
    <row r="682" ht="15.75" customHeight="1">
      <c r="BX682" s="9"/>
      <c r="BY682" s="9"/>
    </row>
    <row r="683" ht="15.75" customHeight="1">
      <c r="BX683" s="9"/>
      <c r="BY683" s="9"/>
    </row>
    <row r="684" ht="15.75" customHeight="1">
      <c r="BX684" s="9"/>
      <c r="BY684" s="9"/>
    </row>
    <row r="685" ht="15.75" customHeight="1">
      <c r="BX685" s="9"/>
      <c r="BY685" s="9"/>
    </row>
    <row r="686" ht="15.75" customHeight="1">
      <c r="BX686" s="9"/>
      <c r="BY686" s="9"/>
    </row>
    <row r="687" ht="15.75" customHeight="1">
      <c r="BX687" s="9"/>
      <c r="BY687" s="9"/>
    </row>
    <row r="688" ht="15.75" customHeight="1">
      <c r="BX688" s="9"/>
      <c r="BY688" s="9"/>
    </row>
    <row r="689" ht="15.75" customHeight="1">
      <c r="BX689" s="9"/>
      <c r="BY689" s="9"/>
    </row>
    <row r="690" ht="15.75" customHeight="1">
      <c r="BX690" s="9"/>
      <c r="BY690" s="9"/>
    </row>
    <row r="691" ht="15.75" customHeight="1">
      <c r="BX691" s="9"/>
      <c r="BY691" s="9"/>
    </row>
    <row r="692" ht="15.75" customHeight="1">
      <c r="BX692" s="9"/>
      <c r="BY692" s="9"/>
    </row>
    <row r="693" ht="15.75" customHeight="1">
      <c r="BX693" s="9"/>
      <c r="BY693" s="9"/>
    </row>
    <row r="694" ht="15.75" customHeight="1">
      <c r="BX694" s="9"/>
      <c r="BY694" s="9"/>
    </row>
    <row r="695" ht="15.75" customHeight="1">
      <c r="BX695" s="9"/>
      <c r="BY695" s="9"/>
    </row>
    <row r="696" ht="15.75" customHeight="1">
      <c r="BX696" s="9"/>
      <c r="BY696" s="9"/>
    </row>
    <row r="697" ht="15.75" customHeight="1">
      <c r="BX697" s="9"/>
      <c r="BY697" s="9"/>
    </row>
    <row r="698" ht="15.75" customHeight="1">
      <c r="BX698" s="9"/>
      <c r="BY698" s="9"/>
    </row>
    <row r="699" ht="15.75" customHeight="1">
      <c r="BX699" s="9"/>
      <c r="BY699" s="9"/>
    </row>
    <row r="700" ht="15.75" customHeight="1">
      <c r="BX700" s="9"/>
      <c r="BY700" s="9"/>
    </row>
    <row r="701" ht="15.75" customHeight="1">
      <c r="BX701" s="9"/>
      <c r="BY701" s="9"/>
    </row>
    <row r="702" ht="15.75" customHeight="1">
      <c r="BX702" s="9"/>
      <c r="BY702" s="9"/>
    </row>
    <row r="703" ht="15.75" customHeight="1">
      <c r="BX703" s="9"/>
      <c r="BY703" s="9"/>
    </row>
    <row r="704" ht="15.75" customHeight="1">
      <c r="BX704" s="9"/>
      <c r="BY704" s="9"/>
    </row>
    <row r="705" ht="15.75" customHeight="1">
      <c r="BX705" s="9"/>
      <c r="BY705" s="9"/>
    </row>
    <row r="706" ht="15.75" customHeight="1">
      <c r="BX706" s="9"/>
      <c r="BY706" s="9"/>
    </row>
    <row r="707" ht="15.75" customHeight="1">
      <c r="BX707" s="9"/>
      <c r="BY707" s="9"/>
    </row>
    <row r="708" ht="15.75" customHeight="1">
      <c r="BX708" s="9"/>
      <c r="BY708" s="9"/>
    </row>
    <row r="709" ht="15.75" customHeight="1">
      <c r="BX709" s="9"/>
      <c r="BY709" s="9"/>
    </row>
    <row r="710" ht="15.75" customHeight="1">
      <c r="BX710" s="9"/>
      <c r="BY710" s="9"/>
    </row>
    <row r="711" ht="15.75" customHeight="1">
      <c r="BX711" s="9"/>
      <c r="BY711" s="9"/>
    </row>
    <row r="712" ht="15.75" customHeight="1">
      <c r="BX712" s="9"/>
      <c r="BY712" s="9"/>
    </row>
    <row r="713" ht="15.75" customHeight="1">
      <c r="BX713" s="9"/>
      <c r="BY713" s="9"/>
    </row>
    <row r="714" ht="15.75" customHeight="1">
      <c r="BX714" s="9"/>
      <c r="BY714" s="9"/>
    </row>
    <row r="715" ht="15.75" customHeight="1">
      <c r="BX715" s="9"/>
      <c r="BY715" s="9"/>
    </row>
    <row r="716" ht="15.75" customHeight="1">
      <c r="BX716" s="9"/>
      <c r="BY716" s="9"/>
    </row>
    <row r="717" ht="15.75" customHeight="1">
      <c r="BX717" s="9"/>
      <c r="BY717" s="9"/>
    </row>
    <row r="718" ht="15.75" customHeight="1">
      <c r="BX718" s="9"/>
      <c r="BY718" s="9"/>
    </row>
    <row r="719" ht="15.75" customHeight="1">
      <c r="BX719" s="9"/>
      <c r="BY719" s="9"/>
    </row>
    <row r="720" ht="15.75" customHeight="1">
      <c r="BX720" s="9"/>
      <c r="BY720" s="9"/>
    </row>
    <row r="721" ht="15.75" customHeight="1">
      <c r="BX721" s="9"/>
      <c r="BY721" s="9"/>
    </row>
    <row r="722" ht="15.75" customHeight="1">
      <c r="BX722" s="9"/>
      <c r="BY722" s="9"/>
    </row>
    <row r="723" ht="15.75" customHeight="1">
      <c r="BX723" s="9"/>
      <c r="BY723" s="9"/>
    </row>
    <row r="724" ht="15.75" customHeight="1">
      <c r="BX724" s="9"/>
      <c r="BY724" s="9"/>
    </row>
    <row r="725" ht="15.75" customHeight="1">
      <c r="BX725" s="9"/>
      <c r="BY725" s="9"/>
    </row>
    <row r="726" ht="15.75" customHeight="1">
      <c r="BX726" s="9"/>
      <c r="BY726" s="9"/>
    </row>
    <row r="727" ht="15.75" customHeight="1">
      <c r="BX727" s="9"/>
      <c r="BY727" s="9"/>
    </row>
    <row r="728" ht="15.75" customHeight="1">
      <c r="BX728" s="9"/>
      <c r="BY728" s="9"/>
    </row>
    <row r="729" ht="15.75" customHeight="1">
      <c r="BX729" s="9"/>
      <c r="BY729" s="9"/>
    </row>
    <row r="730" ht="15.75" customHeight="1">
      <c r="BX730" s="9"/>
      <c r="BY730" s="9"/>
    </row>
    <row r="731" ht="15.75" customHeight="1">
      <c r="BX731" s="9"/>
      <c r="BY731" s="9"/>
    </row>
    <row r="732" ht="15.75" customHeight="1">
      <c r="BX732" s="9"/>
      <c r="BY732" s="9"/>
    </row>
    <row r="733" ht="15.75" customHeight="1">
      <c r="BX733" s="9"/>
      <c r="BY733" s="9"/>
    </row>
    <row r="734" ht="15.75" customHeight="1">
      <c r="BX734" s="9"/>
      <c r="BY734" s="9"/>
    </row>
    <row r="735" ht="15.75" customHeight="1">
      <c r="BX735" s="9"/>
      <c r="BY735" s="9"/>
    </row>
    <row r="736" ht="15.75" customHeight="1">
      <c r="BX736" s="9"/>
      <c r="BY736" s="9"/>
    </row>
    <row r="737" ht="15.75" customHeight="1">
      <c r="BX737" s="9"/>
      <c r="BY737" s="9"/>
    </row>
    <row r="738" ht="15.75" customHeight="1">
      <c r="BX738" s="9"/>
      <c r="BY738" s="9"/>
    </row>
    <row r="739" ht="15.75" customHeight="1">
      <c r="BX739" s="9"/>
      <c r="BY739" s="9"/>
    </row>
    <row r="740" ht="15.75" customHeight="1">
      <c r="BX740" s="9"/>
      <c r="BY740" s="9"/>
    </row>
    <row r="741" ht="15.75" customHeight="1">
      <c r="BX741" s="9"/>
      <c r="BY741" s="9"/>
    </row>
    <row r="742" ht="15.75" customHeight="1">
      <c r="BX742" s="9"/>
      <c r="BY742" s="9"/>
    </row>
    <row r="743" ht="15.75" customHeight="1">
      <c r="BX743" s="9"/>
      <c r="BY743" s="9"/>
    </row>
    <row r="744" ht="15.75" customHeight="1">
      <c r="BX744" s="9"/>
      <c r="BY744" s="9"/>
    </row>
    <row r="745" ht="15.75" customHeight="1">
      <c r="BX745" s="9"/>
      <c r="BY745" s="9"/>
    </row>
    <row r="746" ht="15.75" customHeight="1">
      <c r="BX746" s="9"/>
      <c r="BY746" s="9"/>
    </row>
    <row r="747" ht="15.75" customHeight="1">
      <c r="BX747" s="9"/>
      <c r="BY747" s="9"/>
    </row>
    <row r="748" ht="15.75" customHeight="1">
      <c r="BX748" s="9"/>
      <c r="BY748" s="9"/>
    </row>
    <row r="749" ht="15.75" customHeight="1">
      <c r="BX749" s="9"/>
      <c r="BY749" s="9"/>
    </row>
    <row r="750" ht="15.75" customHeight="1">
      <c r="BX750" s="9"/>
      <c r="BY750" s="9"/>
    </row>
    <row r="751" ht="15.75" customHeight="1">
      <c r="BX751" s="9"/>
      <c r="BY751" s="9"/>
    </row>
    <row r="752" ht="15.75" customHeight="1">
      <c r="BX752" s="9"/>
      <c r="BY752" s="9"/>
    </row>
    <row r="753" ht="15.75" customHeight="1">
      <c r="BX753" s="9"/>
      <c r="BY753" s="9"/>
    </row>
    <row r="754" ht="15.75" customHeight="1">
      <c r="BX754" s="9"/>
      <c r="BY754" s="9"/>
    </row>
    <row r="755" ht="15.75" customHeight="1">
      <c r="BX755" s="9"/>
      <c r="BY755" s="9"/>
    </row>
    <row r="756" ht="15.75" customHeight="1">
      <c r="BX756" s="9"/>
      <c r="BY756" s="9"/>
    </row>
    <row r="757" ht="15.75" customHeight="1">
      <c r="BX757" s="9"/>
      <c r="BY757" s="9"/>
    </row>
    <row r="758" ht="15.75" customHeight="1">
      <c r="BX758" s="9"/>
      <c r="BY758" s="9"/>
    </row>
    <row r="759" ht="15.75" customHeight="1">
      <c r="BX759" s="9"/>
      <c r="BY759" s="9"/>
    </row>
    <row r="760" ht="15.75" customHeight="1">
      <c r="BX760" s="9"/>
      <c r="BY760" s="9"/>
    </row>
    <row r="761" ht="15.75" customHeight="1">
      <c r="BX761" s="9"/>
      <c r="BY761" s="9"/>
    </row>
    <row r="762" ht="15.75" customHeight="1">
      <c r="BX762" s="9"/>
      <c r="BY762" s="9"/>
    </row>
    <row r="763" ht="15.75" customHeight="1">
      <c r="BX763" s="9"/>
      <c r="BY763" s="9"/>
    </row>
    <row r="764" ht="15.75" customHeight="1">
      <c r="BX764" s="9"/>
      <c r="BY764" s="9"/>
    </row>
    <row r="765" ht="15.75" customHeight="1">
      <c r="BX765" s="9"/>
      <c r="BY765" s="9"/>
    </row>
    <row r="766" ht="15.75" customHeight="1">
      <c r="BX766" s="9"/>
      <c r="BY766" s="9"/>
    </row>
    <row r="767" ht="15.75" customHeight="1">
      <c r="BX767" s="9"/>
      <c r="BY767" s="9"/>
    </row>
    <row r="768" ht="15.75" customHeight="1">
      <c r="BX768" s="9"/>
      <c r="BY768" s="9"/>
    </row>
    <row r="769" ht="15.75" customHeight="1">
      <c r="BX769" s="9"/>
      <c r="BY769" s="9"/>
    </row>
    <row r="770" ht="15.75" customHeight="1">
      <c r="BX770" s="9"/>
      <c r="BY770" s="9"/>
    </row>
    <row r="771" ht="15.75" customHeight="1">
      <c r="BX771" s="9"/>
      <c r="BY771" s="9"/>
    </row>
    <row r="772" ht="15.75" customHeight="1">
      <c r="BX772" s="9"/>
      <c r="BY772" s="9"/>
    </row>
    <row r="773" ht="15.75" customHeight="1">
      <c r="BX773" s="9"/>
      <c r="BY773" s="9"/>
    </row>
    <row r="774" ht="15.75" customHeight="1">
      <c r="BX774" s="9"/>
      <c r="BY774" s="9"/>
    </row>
    <row r="775" ht="15.75" customHeight="1">
      <c r="BX775" s="9"/>
      <c r="BY775" s="9"/>
    </row>
    <row r="776" ht="15.75" customHeight="1">
      <c r="BX776" s="9"/>
      <c r="BY776" s="9"/>
    </row>
    <row r="777" ht="15.75" customHeight="1">
      <c r="BX777" s="9"/>
      <c r="BY777" s="9"/>
    </row>
    <row r="778" ht="15.75" customHeight="1">
      <c r="BX778" s="9"/>
      <c r="BY778" s="9"/>
    </row>
    <row r="779" ht="15.75" customHeight="1">
      <c r="BX779" s="9"/>
      <c r="BY779" s="9"/>
    </row>
    <row r="780" ht="15.75" customHeight="1">
      <c r="BX780" s="9"/>
      <c r="BY780" s="9"/>
    </row>
    <row r="781" ht="15.75" customHeight="1">
      <c r="BX781" s="9"/>
      <c r="BY781" s="9"/>
    </row>
    <row r="782" ht="15.75" customHeight="1">
      <c r="BX782" s="9"/>
      <c r="BY782" s="9"/>
    </row>
    <row r="783" ht="15.75" customHeight="1">
      <c r="BX783" s="9"/>
      <c r="BY783" s="9"/>
    </row>
    <row r="784" ht="15.75" customHeight="1">
      <c r="BX784" s="9"/>
      <c r="BY784" s="9"/>
    </row>
    <row r="785" ht="15.75" customHeight="1">
      <c r="BX785" s="9"/>
      <c r="BY785" s="9"/>
    </row>
    <row r="786" ht="15.75" customHeight="1">
      <c r="BX786" s="9"/>
      <c r="BY786" s="9"/>
    </row>
    <row r="787" ht="15.75" customHeight="1">
      <c r="BX787" s="9"/>
      <c r="BY787" s="9"/>
    </row>
    <row r="788" ht="15.75" customHeight="1">
      <c r="BX788" s="9"/>
      <c r="BY788" s="9"/>
    </row>
    <row r="789" ht="15.75" customHeight="1">
      <c r="BX789" s="9"/>
      <c r="BY789" s="9"/>
    </row>
    <row r="790" ht="15.75" customHeight="1">
      <c r="BX790" s="9"/>
      <c r="BY790" s="9"/>
    </row>
    <row r="791" ht="15.75" customHeight="1">
      <c r="BX791" s="9"/>
      <c r="BY791" s="9"/>
    </row>
    <row r="792" ht="15.75" customHeight="1">
      <c r="BX792" s="9"/>
      <c r="BY792" s="9"/>
    </row>
    <row r="793" ht="15.75" customHeight="1">
      <c r="BX793" s="9"/>
      <c r="BY793" s="9"/>
    </row>
    <row r="794" ht="15.75" customHeight="1">
      <c r="BX794" s="9"/>
      <c r="BY794" s="9"/>
    </row>
    <row r="795" ht="15.75" customHeight="1">
      <c r="BX795" s="9"/>
      <c r="BY795" s="9"/>
    </row>
    <row r="796" ht="15.75" customHeight="1">
      <c r="BX796" s="9"/>
      <c r="BY796" s="9"/>
    </row>
    <row r="797" ht="15.75" customHeight="1">
      <c r="BX797" s="9"/>
      <c r="BY797" s="9"/>
    </row>
    <row r="798" ht="15.75" customHeight="1">
      <c r="BX798" s="9"/>
      <c r="BY798" s="9"/>
    </row>
    <row r="799" ht="15.75" customHeight="1">
      <c r="BX799" s="9"/>
      <c r="BY799" s="9"/>
    </row>
    <row r="800" ht="15.75" customHeight="1">
      <c r="BX800" s="9"/>
      <c r="BY800" s="9"/>
    </row>
    <row r="801" ht="15.75" customHeight="1">
      <c r="BX801" s="9"/>
      <c r="BY801" s="9"/>
    </row>
    <row r="802" ht="15.75" customHeight="1">
      <c r="BX802" s="9"/>
      <c r="BY802" s="9"/>
    </row>
    <row r="803" ht="15.75" customHeight="1">
      <c r="BX803" s="9"/>
      <c r="BY803" s="9"/>
    </row>
    <row r="804" ht="15.75" customHeight="1">
      <c r="BX804" s="9"/>
      <c r="BY804" s="9"/>
    </row>
    <row r="805" ht="15.75" customHeight="1">
      <c r="BX805" s="9"/>
      <c r="BY805" s="9"/>
    </row>
    <row r="806" ht="15.75" customHeight="1">
      <c r="BX806" s="9"/>
      <c r="BY806" s="9"/>
    </row>
    <row r="807" ht="15.75" customHeight="1">
      <c r="BX807" s="9"/>
      <c r="BY807" s="9"/>
    </row>
    <row r="808" ht="15.75" customHeight="1">
      <c r="BX808" s="9"/>
      <c r="BY808" s="9"/>
    </row>
    <row r="809" ht="15.75" customHeight="1">
      <c r="BX809" s="9"/>
      <c r="BY809" s="9"/>
    </row>
    <row r="810" ht="15.75" customHeight="1">
      <c r="BX810" s="9"/>
      <c r="BY810" s="9"/>
    </row>
    <row r="811" ht="15.75" customHeight="1">
      <c r="BX811" s="9"/>
      <c r="BY811" s="9"/>
    </row>
    <row r="812" ht="15.75" customHeight="1">
      <c r="BX812" s="9"/>
      <c r="BY812" s="9"/>
    </row>
    <row r="813" ht="15.75" customHeight="1">
      <c r="BX813" s="9"/>
      <c r="BY813" s="9"/>
    </row>
    <row r="814" ht="15.75" customHeight="1">
      <c r="BX814" s="9"/>
      <c r="BY814" s="9"/>
    </row>
    <row r="815" ht="15.75" customHeight="1">
      <c r="BX815" s="9"/>
      <c r="BY815" s="9"/>
    </row>
    <row r="816" ht="15.75" customHeight="1">
      <c r="BX816" s="9"/>
      <c r="BY816" s="9"/>
    </row>
    <row r="817" ht="15.75" customHeight="1">
      <c r="BX817" s="9"/>
      <c r="BY817" s="9"/>
    </row>
    <row r="818" ht="15.75" customHeight="1">
      <c r="BX818" s="9"/>
      <c r="BY818" s="9"/>
    </row>
    <row r="819" ht="15.75" customHeight="1">
      <c r="BX819" s="9"/>
      <c r="BY819" s="9"/>
    </row>
    <row r="820" ht="15.75" customHeight="1">
      <c r="BX820" s="9"/>
      <c r="BY820" s="9"/>
    </row>
    <row r="821" ht="15.75" customHeight="1">
      <c r="BX821" s="9"/>
      <c r="BY821" s="9"/>
    </row>
    <row r="822" ht="15.75" customHeight="1">
      <c r="BX822" s="9"/>
      <c r="BY822" s="9"/>
    </row>
    <row r="823" ht="15.75" customHeight="1">
      <c r="BX823" s="9"/>
      <c r="BY823" s="9"/>
    </row>
    <row r="824" ht="15.75" customHeight="1">
      <c r="BX824" s="9"/>
      <c r="BY824" s="9"/>
    </row>
    <row r="825" ht="15.75" customHeight="1">
      <c r="BX825" s="9"/>
      <c r="BY825" s="9"/>
    </row>
    <row r="826" ht="15.75" customHeight="1">
      <c r="BX826" s="9"/>
      <c r="BY826" s="9"/>
    </row>
    <row r="827" ht="15.75" customHeight="1">
      <c r="BX827" s="9"/>
      <c r="BY827" s="9"/>
    </row>
    <row r="828" ht="15.75" customHeight="1">
      <c r="BX828" s="9"/>
      <c r="BY828" s="9"/>
    </row>
    <row r="829" ht="15.75" customHeight="1">
      <c r="BX829" s="9"/>
      <c r="BY829" s="9"/>
    </row>
    <row r="830" ht="15.75" customHeight="1">
      <c r="BX830" s="9"/>
      <c r="BY830" s="9"/>
    </row>
    <row r="831" ht="15.75" customHeight="1">
      <c r="BX831" s="9"/>
      <c r="BY831" s="9"/>
    </row>
    <row r="832" ht="15.75" customHeight="1">
      <c r="BX832" s="9"/>
      <c r="BY832" s="9"/>
    </row>
    <row r="833" ht="15.75" customHeight="1">
      <c r="BX833" s="9"/>
      <c r="BY833" s="9"/>
    </row>
    <row r="834" ht="15.75" customHeight="1">
      <c r="BX834" s="9"/>
      <c r="BY834" s="9"/>
    </row>
    <row r="835" ht="15.75" customHeight="1">
      <c r="BX835" s="9"/>
      <c r="BY835" s="9"/>
    </row>
    <row r="836" ht="15.75" customHeight="1">
      <c r="BX836" s="9"/>
      <c r="BY836" s="9"/>
    </row>
    <row r="837" ht="15.75" customHeight="1">
      <c r="BX837" s="9"/>
      <c r="BY837" s="9"/>
    </row>
    <row r="838" ht="15.75" customHeight="1">
      <c r="BX838" s="9"/>
      <c r="BY838" s="9"/>
    </row>
    <row r="839" ht="15.75" customHeight="1">
      <c r="BX839" s="9"/>
      <c r="BY839" s="9"/>
    </row>
    <row r="840" ht="15.75" customHeight="1">
      <c r="BX840" s="9"/>
      <c r="BY840" s="9"/>
    </row>
    <row r="841" ht="15.75" customHeight="1">
      <c r="BX841" s="9"/>
      <c r="BY841" s="9"/>
    </row>
    <row r="842" ht="15.75" customHeight="1">
      <c r="BX842" s="9"/>
      <c r="BY842" s="9"/>
    </row>
    <row r="843" ht="15.75" customHeight="1">
      <c r="BX843" s="9"/>
      <c r="BY843" s="9"/>
    </row>
    <row r="844" ht="15.75" customHeight="1">
      <c r="BX844" s="9"/>
      <c r="BY844" s="9"/>
    </row>
    <row r="845" ht="15.75" customHeight="1">
      <c r="BX845" s="9"/>
      <c r="BY845" s="9"/>
    </row>
    <row r="846" ht="15.75" customHeight="1">
      <c r="BX846" s="9"/>
      <c r="BY846" s="9"/>
    </row>
    <row r="847" ht="15.75" customHeight="1">
      <c r="BX847" s="9"/>
      <c r="BY847" s="9"/>
    </row>
    <row r="848" ht="15.75" customHeight="1">
      <c r="BX848" s="9"/>
      <c r="BY848" s="9"/>
    </row>
    <row r="849" ht="15.75" customHeight="1">
      <c r="BX849" s="9"/>
      <c r="BY849" s="9"/>
    </row>
    <row r="850" ht="15.75" customHeight="1">
      <c r="BX850" s="9"/>
      <c r="BY850" s="9"/>
    </row>
    <row r="851" ht="15.75" customHeight="1">
      <c r="BX851" s="9"/>
      <c r="BY851" s="9"/>
    </row>
    <row r="852" ht="15.75" customHeight="1">
      <c r="BX852" s="9"/>
      <c r="BY852" s="9"/>
    </row>
    <row r="853" ht="15.75" customHeight="1">
      <c r="BX853" s="9"/>
      <c r="BY853" s="9"/>
    </row>
    <row r="854" ht="15.75" customHeight="1">
      <c r="BX854" s="9"/>
      <c r="BY854" s="9"/>
    </row>
    <row r="855" ht="15.75" customHeight="1">
      <c r="BX855" s="9"/>
      <c r="BY855" s="9"/>
    </row>
    <row r="856" ht="15.75" customHeight="1">
      <c r="BX856" s="9"/>
      <c r="BY856" s="9"/>
    </row>
    <row r="857" ht="15.75" customHeight="1">
      <c r="BX857" s="9"/>
      <c r="BY857" s="9"/>
    </row>
    <row r="858" ht="15.75" customHeight="1">
      <c r="BX858" s="9"/>
      <c r="BY858" s="9"/>
    </row>
    <row r="859" ht="15.75" customHeight="1">
      <c r="BX859" s="9"/>
      <c r="BY859" s="9"/>
    </row>
    <row r="860" ht="15.75" customHeight="1">
      <c r="BX860" s="9"/>
      <c r="BY860" s="9"/>
    </row>
    <row r="861" ht="15.75" customHeight="1">
      <c r="BX861" s="9"/>
      <c r="BY861" s="9"/>
    </row>
    <row r="862" ht="15.75" customHeight="1">
      <c r="BX862" s="9"/>
      <c r="BY862" s="9"/>
    </row>
    <row r="863" ht="15.75" customHeight="1">
      <c r="BX863" s="9"/>
      <c r="BY863" s="9"/>
    </row>
    <row r="864" ht="15.75" customHeight="1">
      <c r="BX864" s="9"/>
      <c r="BY864" s="9"/>
    </row>
    <row r="865" ht="15.75" customHeight="1">
      <c r="BX865" s="9"/>
      <c r="BY865" s="9"/>
    </row>
    <row r="866" ht="15.75" customHeight="1">
      <c r="BX866" s="9"/>
      <c r="BY866" s="9"/>
    </row>
    <row r="867" ht="15.75" customHeight="1">
      <c r="BX867" s="9"/>
      <c r="BY867" s="9"/>
    </row>
    <row r="868" ht="15.75" customHeight="1">
      <c r="BX868" s="9"/>
      <c r="BY868" s="9"/>
    </row>
    <row r="869" ht="15.75" customHeight="1">
      <c r="BX869" s="9"/>
      <c r="BY869" s="9"/>
    </row>
    <row r="870" ht="15.75" customHeight="1">
      <c r="BX870" s="9"/>
      <c r="BY870" s="9"/>
    </row>
    <row r="871" ht="15.75" customHeight="1">
      <c r="BX871" s="9"/>
      <c r="BY871" s="9"/>
    </row>
    <row r="872" ht="15.75" customHeight="1">
      <c r="BX872" s="9"/>
      <c r="BY872" s="9"/>
    </row>
    <row r="873" ht="15.75" customHeight="1">
      <c r="BX873" s="9"/>
      <c r="BY873" s="9"/>
    </row>
    <row r="874" ht="15.75" customHeight="1">
      <c r="BX874" s="9"/>
      <c r="BY874" s="9"/>
    </row>
    <row r="875" ht="15.75" customHeight="1">
      <c r="BX875" s="9"/>
      <c r="BY875" s="9"/>
    </row>
    <row r="876" ht="15.75" customHeight="1">
      <c r="BX876" s="9"/>
      <c r="BY876" s="9"/>
    </row>
    <row r="877" ht="15.75" customHeight="1">
      <c r="BX877" s="9"/>
      <c r="BY877" s="9"/>
    </row>
    <row r="878" ht="15.75" customHeight="1">
      <c r="BX878" s="9"/>
      <c r="BY878" s="9"/>
    </row>
    <row r="879" ht="15.75" customHeight="1">
      <c r="BX879" s="9"/>
      <c r="BY879" s="9"/>
    </row>
    <row r="880" ht="15.75" customHeight="1">
      <c r="BX880" s="9"/>
      <c r="BY880" s="9"/>
    </row>
    <row r="881" ht="15.75" customHeight="1">
      <c r="BX881" s="9"/>
      <c r="BY881" s="9"/>
    </row>
    <row r="882" ht="15.75" customHeight="1">
      <c r="BX882" s="9"/>
      <c r="BY882" s="9"/>
    </row>
    <row r="883" ht="15.75" customHeight="1">
      <c r="BX883" s="9"/>
      <c r="BY883" s="9"/>
    </row>
    <row r="884" ht="15.75" customHeight="1">
      <c r="BX884" s="9"/>
      <c r="BY884" s="9"/>
    </row>
    <row r="885" ht="15.75" customHeight="1">
      <c r="BX885" s="9"/>
      <c r="BY885" s="9"/>
    </row>
    <row r="886" ht="15.75" customHeight="1">
      <c r="BX886" s="9"/>
      <c r="BY886" s="9"/>
    </row>
    <row r="887" ht="15.75" customHeight="1">
      <c r="BX887" s="9"/>
      <c r="BY887" s="9"/>
    </row>
    <row r="888" ht="15.75" customHeight="1">
      <c r="BX888" s="9"/>
      <c r="BY888" s="9"/>
    </row>
    <row r="889" ht="15.75" customHeight="1">
      <c r="BX889" s="9"/>
      <c r="BY889" s="9"/>
    </row>
    <row r="890" ht="15.75" customHeight="1">
      <c r="BX890" s="9"/>
      <c r="BY890" s="9"/>
    </row>
    <row r="891" ht="15.75" customHeight="1">
      <c r="BX891" s="9"/>
      <c r="BY891" s="9"/>
    </row>
    <row r="892" ht="15.75" customHeight="1">
      <c r="BX892" s="9"/>
      <c r="BY892" s="9"/>
    </row>
    <row r="893" ht="15.75" customHeight="1">
      <c r="BX893" s="9"/>
      <c r="BY893" s="9"/>
    </row>
    <row r="894" ht="15.75" customHeight="1">
      <c r="BX894" s="9"/>
      <c r="BY894" s="9"/>
    </row>
    <row r="895" ht="15.75" customHeight="1">
      <c r="BX895" s="9"/>
      <c r="BY895" s="9"/>
    </row>
    <row r="896" ht="15.75" customHeight="1">
      <c r="BX896" s="9"/>
      <c r="BY896" s="9"/>
    </row>
    <row r="897" ht="15.75" customHeight="1">
      <c r="BX897" s="9"/>
      <c r="BY897" s="9"/>
    </row>
    <row r="898" ht="15.75" customHeight="1">
      <c r="BX898" s="9"/>
      <c r="BY898" s="9"/>
    </row>
    <row r="899" ht="15.75" customHeight="1">
      <c r="BX899" s="9"/>
      <c r="BY899" s="9"/>
    </row>
    <row r="900" ht="15.75" customHeight="1">
      <c r="BX900" s="9"/>
      <c r="BY900" s="9"/>
    </row>
    <row r="901" ht="15.75" customHeight="1">
      <c r="BX901" s="9"/>
      <c r="BY901" s="9"/>
    </row>
    <row r="902" ht="15.75" customHeight="1">
      <c r="BX902" s="9"/>
      <c r="BY902" s="9"/>
    </row>
    <row r="903" ht="15.75" customHeight="1">
      <c r="BX903" s="9"/>
      <c r="BY903" s="9"/>
    </row>
    <row r="904" ht="15.75" customHeight="1">
      <c r="BX904" s="9"/>
      <c r="BY904" s="9"/>
    </row>
    <row r="905" ht="15.75" customHeight="1">
      <c r="BX905" s="9"/>
      <c r="BY905" s="9"/>
    </row>
    <row r="906" ht="15.75" customHeight="1">
      <c r="BX906" s="9"/>
      <c r="BY906" s="9"/>
    </row>
    <row r="907" ht="15.75" customHeight="1">
      <c r="BX907" s="9"/>
      <c r="BY907" s="9"/>
    </row>
    <row r="908" ht="15.75" customHeight="1">
      <c r="BX908" s="9"/>
      <c r="BY908" s="9"/>
    </row>
    <row r="909" ht="15.75" customHeight="1">
      <c r="BX909" s="9"/>
      <c r="BY909" s="9"/>
    </row>
    <row r="910" ht="15.75" customHeight="1">
      <c r="BX910" s="9"/>
      <c r="BY910" s="9"/>
    </row>
    <row r="911" ht="15.75" customHeight="1">
      <c r="BX911" s="9"/>
      <c r="BY911" s="9"/>
    </row>
    <row r="912" ht="15.75" customHeight="1">
      <c r="BX912" s="9"/>
      <c r="BY912" s="9"/>
    </row>
    <row r="913" ht="15.75" customHeight="1">
      <c r="BX913" s="9"/>
      <c r="BY913" s="9"/>
    </row>
    <row r="914" ht="15.75" customHeight="1">
      <c r="BX914" s="9"/>
      <c r="BY914" s="9"/>
    </row>
    <row r="915" ht="15.75" customHeight="1">
      <c r="BX915" s="9"/>
      <c r="BY915" s="9"/>
    </row>
    <row r="916" ht="15.75" customHeight="1">
      <c r="BX916" s="9"/>
      <c r="BY916" s="9"/>
    </row>
    <row r="917" ht="15.75" customHeight="1">
      <c r="BX917" s="9"/>
      <c r="BY917" s="9"/>
    </row>
    <row r="918" ht="15.75" customHeight="1">
      <c r="BX918" s="9"/>
      <c r="BY918" s="9"/>
    </row>
    <row r="919" ht="15.75" customHeight="1">
      <c r="BX919" s="9"/>
      <c r="BY919" s="9"/>
    </row>
    <row r="920" ht="15.75" customHeight="1">
      <c r="BX920" s="9"/>
      <c r="BY920" s="9"/>
    </row>
    <row r="921" ht="15.75" customHeight="1">
      <c r="BX921" s="9"/>
      <c r="BY921" s="9"/>
    </row>
    <row r="922" ht="15.75" customHeight="1">
      <c r="BX922" s="9"/>
      <c r="BY922" s="9"/>
    </row>
    <row r="923" ht="15.75" customHeight="1">
      <c r="BX923" s="9"/>
      <c r="BY923" s="9"/>
    </row>
    <row r="924" ht="15.75" customHeight="1">
      <c r="BX924" s="9"/>
      <c r="BY924" s="9"/>
    </row>
    <row r="925" ht="15.75" customHeight="1">
      <c r="BX925" s="9"/>
      <c r="BY925" s="9"/>
    </row>
    <row r="926" ht="15.75" customHeight="1">
      <c r="BX926" s="9"/>
      <c r="BY926" s="9"/>
    </row>
    <row r="927" ht="15.75" customHeight="1">
      <c r="BX927" s="9"/>
      <c r="BY927" s="9"/>
    </row>
    <row r="928" ht="15.75" customHeight="1">
      <c r="BX928" s="9"/>
      <c r="BY928" s="9"/>
    </row>
    <row r="929" ht="15.75" customHeight="1">
      <c r="BX929" s="9"/>
      <c r="BY929" s="9"/>
    </row>
    <row r="930" ht="15.75" customHeight="1">
      <c r="BX930" s="9"/>
      <c r="BY930" s="9"/>
    </row>
    <row r="931" ht="15.75" customHeight="1">
      <c r="BX931" s="9"/>
      <c r="BY931" s="9"/>
    </row>
    <row r="932" ht="15.75" customHeight="1">
      <c r="BX932" s="9"/>
      <c r="BY932" s="9"/>
    </row>
    <row r="933" ht="15.75" customHeight="1">
      <c r="BX933" s="9"/>
      <c r="BY933" s="9"/>
    </row>
    <row r="934" ht="15.75" customHeight="1">
      <c r="BX934" s="9"/>
      <c r="BY934" s="9"/>
    </row>
    <row r="935" ht="15.75" customHeight="1">
      <c r="BX935" s="9"/>
      <c r="BY935" s="9"/>
    </row>
    <row r="936" ht="15.75" customHeight="1">
      <c r="BX936" s="9"/>
      <c r="BY936" s="9"/>
    </row>
    <row r="937" ht="15.75" customHeight="1">
      <c r="BX937" s="9"/>
      <c r="BY937" s="9"/>
    </row>
    <row r="938" ht="15.75" customHeight="1">
      <c r="BX938" s="9"/>
      <c r="BY938" s="9"/>
    </row>
    <row r="939" ht="15.75" customHeight="1">
      <c r="BX939" s="9"/>
      <c r="BY939" s="9"/>
    </row>
    <row r="940" ht="15.75" customHeight="1">
      <c r="BX940" s="9"/>
      <c r="BY940" s="9"/>
    </row>
    <row r="941" ht="15.75" customHeight="1">
      <c r="BX941" s="9"/>
      <c r="BY941" s="9"/>
    </row>
    <row r="942" ht="15.75" customHeight="1">
      <c r="BX942" s="9"/>
      <c r="BY942" s="9"/>
    </row>
    <row r="943" ht="15.75" customHeight="1">
      <c r="BX943" s="9"/>
      <c r="BY943" s="9"/>
    </row>
    <row r="944" ht="15.75" customHeight="1">
      <c r="BX944" s="9"/>
      <c r="BY944" s="9"/>
    </row>
    <row r="945" ht="15.75" customHeight="1">
      <c r="BX945" s="9"/>
      <c r="BY945" s="9"/>
    </row>
    <row r="946" ht="15.75" customHeight="1">
      <c r="BX946" s="9"/>
      <c r="BY946" s="9"/>
    </row>
    <row r="947" ht="15.75" customHeight="1">
      <c r="BX947" s="9"/>
      <c r="BY947" s="9"/>
    </row>
    <row r="948" ht="15.75" customHeight="1">
      <c r="BX948" s="9"/>
      <c r="BY948" s="9"/>
    </row>
    <row r="949" ht="15.75" customHeight="1">
      <c r="BX949" s="9"/>
      <c r="BY949" s="9"/>
    </row>
    <row r="950" ht="15.75" customHeight="1">
      <c r="BX950" s="9"/>
      <c r="BY950" s="9"/>
    </row>
    <row r="951" ht="15.75" customHeight="1">
      <c r="BX951" s="9"/>
      <c r="BY951" s="9"/>
    </row>
    <row r="952" ht="15.75" customHeight="1">
      <c r="BX952" s="9"/>
      <c r="BY952" s="9"/>
    </row>
    <row r="953" ht="15.75" customHeight="1">
      <c r="BX953" s="9"/>
      <c r="BY953" s="9"/>
    </row>
    <row r="954" ht="15.75" customHeight="1">
      <c r="BX954" s="9"/>
      <c r="BY954" s="9"/>
    </row>
    <row r="955" ht="15.75" customHeight="1">
      <c r="BX955" s="9"/>
      <c r="BY955" s="9"/>
    </row>
    <row r="956" ht="15.75" customHeight="1">
      <c r="BX956" s="9"/>
      <c r="BY956" s="9"/>
    </row>
    <row r="957" ht="15.75" customHeight="1">
      <c r="BX957" s="9"/>
      <c r="BY957" s="9"/>
    </row>
    <row r="958" ht="15.75" customHeight="1">
      <c r="BX958" s="9"/>
      <c r="BY958" s="9"/>
    </row>
    <row r="959" ht="15.75" customHeight="1">
      <c r="BX959" s="9"/>
      <c r="BY959" s="9"/>
    </row>
    <row r="960" ht="15.75" customHeight="1">
      <c r="BX960" s="9"/>
      <c r="BY960" s="9"/>
    </row>
    <row r="961" ht="15.75" customHeight="1">
      <c r="BX961" s="9"/>
      <c r="BY961" s="9"/>
    </row>
    <row r="962" ht="15.75" customHeight="1">
      <c r="BX962" s="9"/>
      <c r="BY962" s="9"/>
    </row>
    <row r="963" ht="15.75" customHeight="1">
      <c r="BX963" s="9"/>
      <c r="BY963" s="9"/>
    </row>
    <row r="964" ht="15.75" customHeight="1">
      <c r="BX964" s="9"/>
      <c r="BY964" s="9"/>
    </row>
    <row r="965" ht="15.75" customHeight="1">
      <c r="BX965" s="9"/>
      <c r="BY965" s="9"/>
    </row>
    <row r="966" ht="15.75" customHeight="1">
      <c r="BX966" s="9"/>
      <c r="BY966" s="9"/>
    </row>
    <row r="967" ht="15.75" customHeight="1">
      <c r="BX967" s="9"/>
      <c r="BY967" s="9"/>
    </row>
    <row r="968" ht="15.75" customHeight="1">
      <c r="BX968" s="9"/>
      <c r="BY968" s="9"/>
    </row>
    <row r="969" ht="15.75" customHeight="1">
      <c r="BX969" s="9"/>
      <c r="BY969" s="9"/>
    </row>
    <row r="970" ht="15.75" customHeight="1">
      <c r="BX970" s="9"/>
      <c r="BY970" s="9"/>
    </row>
    <row r="971" ht="15.75" customHeight="1">
      <c r="BX971" s="9"/>
      <c r="BY971" s="9"/>
    </row>
    <row r="972" ht="15.75" customHeight="1">
      <c r="BX972" s="9"/>
      <c r="BY972" s="9"/>
    </row>
    <row r="973" ht="15.75" customHeight="1">
      <c r="BX973" s="9"/>
      <c r="BY973" s="9"/>
    </row>
    <row r="974" ht="15.75" customHeight="1">
      <c r="BX974" s="9"/>
      <c r="BY974" s="9"/>
    </row>
    <row r="975" ht="15.75" customHeight="1">
      <c r="BX975" s="9"/>
      <c r="BY975" s="9"/>
    </row>
    <row r="976" ht="15.75" customHeight="1">
      <c r="BX976" s="9"/>
      <c r="BY976" s="9"/>
    </row>
    <row r="977" ht="15.75" customHeight="1">
      <c r="BX977" s="9"/>
      <c r="BY977" s="9"/>
    </row>
    <row r="978" ht="15.75" customHeight="1">
      <c r="BX978" s="9"/>
      <c r="BY978" s="9"/>
    </row>
    <row r="979" ht="15.75" customHeight="1">
      <c r="BX979" s="9"/>
      <c r="BY979" s="9"/>
    </row>
    <row r="980" ht="15.75" customHeight="1">
      <c r="BX980" s="9"/>
      <c r="BY980" s="9"/>
    </row>
    <row r="981" ht="15.75" customHeight="1">
      <c r="BX981" s="9"/>
      <c r="BY981" s="9"/>
    </row>
    <row r="982" ht="15.75" customHeight="1">
      <c r="BX982" s="9"/>
      <c r="BY982" s="9"/>
    </row>
    <row r="983" ht="15.75" customHeight="1">
      <c r="BX983" s="9"/>
      <c r="BY983" s="9"/>
    </row>
    <row r="984" ht="15.75" customHeight="1">
      <c r="BX984" s="9"/>
      <c r="BY984" s="9"/>
    </row>
    <row r="985" ht="15.75" customHeight="1">
      <c r="BX985" s="9"/>
      <c r="BY985" s="9"/>
    </row>
    <row r="986" ht="15.75" customHeight="1">
      <c r="BX986" s="9"/>
      <c r="BY986" s="9"/>
    </row>
    <row r="987" ht="15.75" customHeight="1">
      <c r="BX987" s="9"/>
      <c r="BY987" s="9"/>
    </row>
    <row r="988" ht="15.75" customHeight="1">
      <c r="BX988" s="9"/>
      <c r="BY988" s="9"/>
    </row>
    <row r="989" ht="15.75" customHeight="1">
      <c r="BX989" s="9"/>
      <c r="BY989" s="9"/>
    </row>
    <row r="990" ht="15.75" customHeight="1">
      <c r="BX990" s="9"/>
      <c r="BY990" s="9"/>
    </row>
    <row r="991" ht="15.75" customHeight="1">
      <c r="BX991" s="9"/>
      <c r="BY991" s="9"/>
    </row>
    <row r="992" ht="15.75" customHeight="1">
      <c r="BX992" s="9"/>
      <c r="BY992" s="9"/>
    </row>
    <row r="993" ht="15.75" customHeight="1">
      <c r="BX993" s="9"/>
      <c r="BY993" s="9"/>
    </row>
    <row r="994" ht="15.75" customHeight="1">
      <c r="BX994" s="9"/>
      <c r="BY994" s="9"/>
    </row>
    <row r="995" ht="15.75" customHeight="1">
      <c r="BX995" s="9"/>
      <c r="BY995" s="9"/>
    </row>
    <row r="996" ht="15.75" customHeight="1">
      <c r="BX996" s="9"/>
      <c r="BY996" s="9"/>
    </row>
    <row r="997" ht="15.75" customHeight="1">
      <c r="BX997" s="9"/>
      <c r="BY997" s="9"/>
    </row>
    <row r="998" ht="15.75" customHeight="1">
      <c r="BX998" s="9"/>
      <c r="BY998" s="9"/>
    </row>
    <row r="999" ht="15.75" customHeight="1">
      <c r="BX999" s="9"/>
      <c r="BY999" s="9"/>
    </row>
    <row r="1000" ht="15.75" customHeight="1">
      <c r="BX1000" s="9"/>
      <c r="BY1000" s="9"/>
    </row>
    <row r="1001" ht="15.75" customHeight="1">
      <c r="BX1001" s="9"/>
      <c r="BY1001" s="9"/>
    </row>
    <row r="1002" ht="15.75" customHeight="1">
      <c r="BX1002" s="9"/>
      <c r="BY1002" s="9"/>
    </row>
    <row r="1003" ht="15.75" customHeight="1">
      <c r="BX1003" s="9"/>
      <c r="BY1003" s="9"/>
    </row>
    <row r="1004" ht="15.75" customHeight="1">
      <c r="BX1004" s="9"/>
      <c r="BY1004" s="9"/>
    </row>
    <row r="1005" ht="15.75" customHeight="1">
      <c r="BX1005" s="9"/>
      <c r="BY1005" s="9"/>
    </row>
    <row r="1006" ht="15.75" customHeight="1">
      <c r="BX1006" s="9"/>
      <c r="BY1006" s="9"/>
    </row>
    <row r="1007" ht="15.75" customHeight="1">
      <c r="BX1007" s="9"/>
      <c r="BY1007" s="9"/>
    </row>
    <row r="1008" ht="15.75" customHeight="1">
      <c r="BX1008" s="9"/>
      <c r="BY1008" s="9"/>
    </row>
    <row r="1009" ht="15.75" customHeight="1">
      <c r="BX1009" s="9"/>
      <c r="BY1009" s="9"/>
    </row>
    <row r="1010" ht="15.75" customHeight="1">
      <c r="BX1010" s="9"/>
      <c r="BY1010" s="9"/>
    </row>
    <row r="1011" ht="15.75" customHeight="1">
      <c r="BX1011" s="9"/>
      <c r="BY1011" s="9"/>
    </row>
  </sheetData>
  <mergeCells count="993">
    <mergeCell ref="BJ52:BJ53"/>
    <mergeCell ref="BJ54:BJ55"/>
    <mergeCell ref="BJ56:BJ57"/>
    <mergeCell ref="BJ44:BJ45"/>
    <mergeCell ref="BJ46:BJ47"/>
    <mergeCell ref="BJ48:BJ49"/>
    <mergeCell ref="BL48:BL49"/>
    <mergeCell ref="BJ50:BJ51"/>
    <mergeCell ref="BL50:BL51"/>
    <mergeCell ref="BL52:BL53"/>
    <mergeCell ref="BD64:BD65"/>
    <mergeCell ref="BE64:BE65"/>
    <mergeCell ref="AZ58:AZ59"/>
    <mergeCell ref="AZ60:AZ61"/>
    <mergeCell ref="AZ62:AZ63"/>
    <mergeCell ref="BC62:BC63"/>
    <mergeCell ref="BD62:BD63"/>
    <mergeCell ref="BE62:BE63"/>
    <mergeCell ref="BC64:BC65"/>
    <mergeCell ref="AZ64:AZ65"/>
    <mergeCell ref="AZ66:AZ67"/>
    <mergeCell ref="AZ44:AZ45"/>
    <mergeCell ref="AZ46:AZ47"/>
    <mergeCell ref="AZ48:AZ49"/>
    <mergeCell ref="AZ50:AZ51"/>
    <mergeCell ref="AZ52:AZ53"/>
    <mergeCell ref="AZ54:AZ55"/>
    <mergeCell ref="AZ56:AZ57"/>
    <mergeCell ref="BJ62:BJ63"/>
    <mergeCell ref="BJ64:BJ65"/>
    <mergeCell ref="BJ66:BJ67"/>
    <mergeCell ref="BL54:BL55"/>
    <mergeCell ref="BL56:BL57"/>
    <mergeCell ref="BJ58:BJ59"/>
    <mergeCell ref="BL58:BL59"/>
    <mergeCell ref="BJ60:BJ61"/>
    <mergeCell ref="BL60:BL61"/>
    <mergeCell ref="BL62:BL63"/>
    <mergeCell ref="BD70:BD71"/>
    <mergeCell ref="BE70:BE71"/>
    <mergeCell ref="BC66:BC67"/>
    <mergeCell ref="BD66:BD67"/>
    <mergeCell ref="BE66:BE67"/>
    <mergeCell ref="AZ68:AZ69"/>
    <mergeCell ref="BD68:BD69"/>
    <mergeCell ref="BE68:BE69"/>
    <mergeCell ref="AZ70:AZ71"/>
    <mergeCell ref="BJ72:BJ73"/>
    <mergeCell ref="BJ74:BJ75"/>
    <mergeCell ref="BL64:BL65"/>
    <mergeCell ref="BL66:BL67"/>
    <mergeCell ref="BJ68:BJ69"/>
    <mergeCell ref="BL68:BL69"/>
    <mergeCell ref="BJ70:BJ71"/>
    <mergeCell ref="BL70:BL71"/>
    <mergeCell ref="BL72:BL73"/>
    <mergeCell ref="BL74:BL75"/>
    <mergeCell ref="BC74:BC75"/>
    <mergeCell ref="BD74:BD75"/>
    <mergeCell ref="BC68:BC69"/>
    <mergeCell ref="BC70:BC71"/>
    <mergeCell ref="AZ72:AZ73"/>
    <mergeCell ref="BC72:BC73"/>
    <mergeCell ref="BD72:BD73"/>
    <mergeCell ref="BE72:BE73"/>
    <mergeCell ref="BE74:BE75"/>
    <mergeCell ref="BD78:BD79"/>
    <mergeCell ref="BE78:BE79"/>
    <mergeCell ref="BL76:BL77"/>
    <mergeCell ref="BL78:BL79"/>
    <mergeCell ref="AZ74:AZ75"/>
    <mergeCell ref="AZ76:AZ77"/>
    <mergeCell ref="BD76:BD77"/>
    <mergeCell ref="BE76:BE77"/>
    <mergeCell ref="BJ76:BJ77"/>
    <mergeCell ref="AZ78:AZ79"/>
    <mergeCell ref="BJ78:BJ79"/>
    <mergeCell ref="AZ80:AZ81"/>
    <mergeCell ref="AZ82:AZ83"/>
    <mergeCell ref="BC82:BC83"/>
    <mergeCell ref="BD82:BD83"/>
    <mergeCell ref="BE82:BE83"/>
    <mergeCell ref="BC76:BC77"/>
    <mergeCell ref="BC78:BC79"/>
    <mergeCell ref="BC80:BC81"/>
    <mergeCell ref="BD80:BD81"/>
    <mergeCell ref="BE80:BE81"/>
    <mergeCell ref="BJ80:BJ81"/>
    <mergeCell ref="BJ82:BJ83"/>
    <mergeCell ref="BL84:BL85"/>
    <mergeCell ref="BL86:BL87"/>
    <mergeCell ref="BL80:BL81"/>
    <mergeCell ref="BL82:BL83"/>
    <mergeCell ref="BC84:BC85"/>
    <mergeCell ref="BD84:BD85"/>
    <mergeCell ref="BE84:BE85"/>
    <mergeCell ref="BJ84:BJ85"/>
    <mergeCell ref="BJ86:BJ87"/>
    <mergeCell ref="AK74:AK75"/>
    <mergeCell ref="AK76:AK77"/>
    <mergeCell ref="AK78:AK79"/>
    <mergeCell ref="AK80:AK81"/>
    <mergeCell ref="AK82:AK83"/>
    <mergeCell ref="AK84:AK85"/>
    <mergeCell ref="AK86:AK87"/>
    <mergeCell ref="AK102:AK103"/>
    <mergeCell ref="AK104:AK105"/>
    <mergeCell ref="AK106:AK107"/>
    <mergeCell ref="AK108:AK109"/>
    <mergeCell ref="AK110:AK111"/>
    <mergeCell ref="AK112:AK113"/>
    <mergeCell ref="AK88:AK89"/>
    <mergeCell ref="AK90:AK91"/>
    <mergeCell ref="AK92:AK93"/>
    <mergeCell ref="AK94:AK95"/>
    <mergeCell ref="AK96:AK97"/>
    <mergeCell ref="AK98:AK99"/>
    <mergeCell ref="AK100:AK101"/>
    <mergeCell ref="AK44:AK45"/>
    <mergeCell ref="BC44:BC45"/>
    <mergeCell ref="BD44:BD45"/>
    <mergeCell ref="BE44:BE45"/>
    <mergeCell ref="BL44:BL45"/>
    <mergeCell ref="BE46:BE47"/>
    <mergeCell ref="BL46:BL47"/>
    <mergeCell ref="BC46:BC47"/>
    <mergeCell ref="BD46:BD47"/>
    <mergeCell ref="BC48:BC49"/>
    <mergeCell ref="BD48:BD49"/>
    <mergeCell ref="BE48:BE49"/>
    <mergeCell ref="BD50:BD51"/>
    <mergeCell ref="BE50:BE51"/>
    <mergeCell ref="AK46:AK47"/>
    <mergeCell ref="AK48:AK49"/>
    <mergeCell ref="AK50:AK51"/>
    <mergeCell ref="AK52:AK53"/>
    <mergeCell ref="AK54:AK55"/>
    <mergeCell ref="AK56:AK57"/>
    <mergeCell ref="AK58:AK59"/>
    <mergeCell ref="BC50:BC51"/>
    <mergeCell ref="BC52:BC53"/>
    <mergeCell ref="BD52:BD53"/>
    <mergeCell ref="BE52:BE53"/>
    <mergeCell ref="BC54:BC55"/>
    <mergeCell ref="BD54:BD55"/>
    <mergeCell ref="BE54:BE55"/>
    <mergeCell ref="AK60:AK61"/>
    <mergeCell ref="AK62:AK63"/>
    <mergeCell ref="AK64:AK65"/>
    <mergeCell ref="AK66:AK67"/>
    <mergeCell ref="AK68:AK69"/>
    <mergeCell ref="AK70:AK71"/>
    <mergeCell ref="AK72:AK73"/>
    <mergeCell ref="BD88:BD89"/>
    <mergeCell ref="BE88:BE89"/>
    <mergeCell ref="BJ88:BJ89"/>
    <mergeCell ref="BL88:BL89"/>
    <mergeCell ref="BJ90:BJ91"/>
    <mergeCell ref="BL90:BL91"/>
    <mergeCell ref="BC88:BC89"/>
    <mergeCell ref="BC90:BC91"/>
    <mergeCell ref="BJ102:BJ103"/>
    <mergeCell ref="BJ104:BJ105"/>
    <mergeCell ref="BJ94:BJ95"/>
    <mergeCell ref="BJ96:BJ97"/>
    <mergeCell ref="BJ98:BJ99"/>
    <mergeCell ref="BL98:BL99"/>
    <mergeCell ref="BJ100:BJ101"/>
    <mergeCell ref="BL100:BL101"/>
    <mergeCell ref="BL102:BL103"/>
    <mergeCell ref="BL104:BL105"/>
    <mergeCell ref="BJ108:BJ109"/>
    <mergeCell ref="BJ110:BJ111"/>
    <mergeCell ref="BJ112:BJ113"/>
    <mergeCell ref="BL112:BL113"/>
    <mergeCell ref="BD112:BD113"/>
    <mergeCell ref="BE112:BE113"/>
    <mergeCell ref="BC108:BC109"/>
    <mergeCell ref="BD108:BD109"/>
    <mergeCell ref="BE108:BE109"/>
    <mergeCell ref="BL108:BL109"/>
    <mergeCell ref="BD110:BD111"/>
    <mergeCell ref="BE110:BE111"/>
    <mergeCell ref="BL110:BL111"/>
    <mergeCell ref="N64:N65"/>
    <mergeCell ref="O64:O65"/>
    <mergeCell ref="P64:P65"/>
    <mergeCell ref="Q64:Q65"/>
    <mergeCell ref="R64:R65"/>
    <mergeCell ref="S64:S65"/>
    <mergeCell ref="U64:U65"/>
    <mergeCell ref="N66:N67"/>
    <mergeCell ref="O66:O67"/>
    <mergeCell ref="P66:P67"/>
    <mergeCell ref="Q66:Q67"/>
    <mergeCell ref="R66:R67"/>
    <mergeCell ref="S66:S67"/>
    <mergeCell ref="U66:U67"/>
    <mergeCell ref="N58:N59"/>
    <mergeCell ref="O58:O59"/>
    <mergeCell ref="P58:P59"/>
    <mergeCell ref="Q58:Q59"/>
    <mergeCell ref="R58:R59"/>
    <mergeCell ref="S58:S59"/>
    <mergeCell ref="U58:U59"/>
    <mergeCell ref="N60:N61"/>
    <mergeCell ref="O60:O61"/>
    <mergeCell ref="P60:P61"/>
    <mergeCell ref="Q60:Q61"/>
    <mergeCell ref="R60:R61"/>
    <mergeCell ref="S60:S61"/>
    <mergeCell ref="U60:U61"/>
    <mergeCell ref="W62:W63"/>
    <mergeCell ref="X62:X63"/>
    <mergeCell ref="Y62:Y63"/>
    <mergeCell ref="N62:N63"/>
    <mergeCell ref="O62:O63"/>
    <mergeCell ref="P62:P63"/>
    <mergeCell ref="Q62:Q63"/>
    <mergeCell ref="R62:R63"/>
    <mergeCell ref="S62:S63"/>
    <mergeCell ref="U62:U63"/>
    <mergeCell ref="W64:W65"/>
    <mergeCell ref="X64:X65"/>
    <mergeCell ref="Y64:Y65"/>
    <mergeCell ref="W66:W67"/>
    <mergeCell ref="X66:X67"/>
    <mergeCell ref="Y66:Y67"/>
    <mergeCell ref="W74:W75"/>
    <mergeCell ref="X74:X75"/>
    <mergeCell ref="Y74:Y75"/>
    <mergeCell ref="N74:N75"/>
    <mergeCell ref="O74:O75"/>
    <mergeCell ref="P74:P75"/>
    <mergeCell ref="Q74:Q75"/>
    <mergeCell ref="R74:R75"/>
    <mergeCell ref="S74:S75"/>
    <mergeCell ref="U74:U75"/>
    <mergeCell ref="W122:W123"/>
    <mergeCell ref="X122:X123"/>
    <mergeCell ref="Y122:Y123"/>
    <mergeCell ref="N122:N123"/>
    <mergeCell ref="O122:O123"/>
    <mergeCell ref="P122:P123"/>
    <mergeCell ref="Q122:Q123"/>
    <mergeCell ref="R122:R123"/>
    <mergeCell ref="S122:S123"/>
    <mergeCell ref="U122:U123"/>
    <mergeCell ref="Q124:Q125"/>
    <mergeCell ref="R124:R125"/>
    <mergeCell ref="S124:S125"/>
    <mergeCell ref="U124:U125"/>
    <mergeCell ref="W124:W125"/>
    <mergeCell ref="X124:X125"/>
    <mergeCell ref="Y124:Y125"/>
    <mergeCell ref="U126:U127"/>
    <mergeCell ref="W126:W127"/>
    <mergeCell ref="X126:X127"/>
    <mergeCell ref="Y126:Y127"/>
    <mergeCell ref="P124:P125"/>
    <mergeCell ref="N126:N127"/>
    <mergeCell ref="O126:O127"/>
    <mergeCell ref="P126:P127"/>
    <mergeCell ref="Q126:Q127"/>
    <mergeCell ref="R126:R127"/>
    <mergeCell ref="S126:S127"/>
    <mergeCell ref="W128:W129"/>
    <mergeCell ref="X128:X129"/>
    <mergeCell ref="Y128:Y129"/>
    <mergeCell ref="W130:W131"/>
    <mergeCell ref="X130:X131"/>
    <mergeCell ref="Y130:Y131"/>
    <mergeCell ref="N128:N129"/>
    <mergeCell ref="O128:O129"/>
    <mergeCell ref="P128:P129"/>
    <mergeCell ref="Q128:Q129"/>
    <mergeCell ref="R128:R129"/>
    <mergeCell ref="S128:S129"/>
    <mergeCell ref="U128:U129"/>
    <mergeCell ref="N130:N131"/>
    <mergeCell ref="O130:O131"/>
    <mergeCell ref="P130:P131"/>
    <mergeCell ref="Q130:Q131"/>
    <mergeCell ref="R130:R131"/>
    <mergeCell ref="S130:S131"/>
    <mergeCell ref="U130:U131"/>
    <mergeCell ref="W132:W133"/>
    <mergeCell ref="X132:X133"/>
    <mergeCell ref="Y132:Y133"/>
    <mergeCell ref="N132:N133"/>
    <mergeCell ref="O132:O133"/>
    <mergeCell ref="P132:P133"/>
    <mergeCell ref="Q132:Q133"/>
    <mergeCell ref="R132:R133"/>
    <mergeCell ref="S132:S133"/>
    <mergeCell ref="U132:U133"/>
    <mergeCell ref="W134:W135"/>
    <mergeCell ref="X134:X135"/>
    <mergeCell ref="Y134:Y135"/>
    <mergeCell ref="W136:W137"/>
    <mergeCell ref="X136:X137"/>
    <mergeCell ref="Y136:Y137"/>
    <mergeCell ref="W138:W139"/>
    <mergeCell ref="X138:X139"/>
    <mergeCell ref="Y138:Y139"/>
    <mergeCell ref="N138:N139"/>
    <mergeCell ref="O138:O139"/>
    <mergeCell ref="P138:P139"/>
    <mergeCell ref="Q138:Q139"/>
    <mergeCell ref="R138:R139"/>
    <mergeCell ref="S138:S139"/>
    <mergeCell ref="U138:U139"/>
    <mergeCell ref="N48:N49"/>
    <mergeCell ref="O48:O49"/>
    <mergeCell ref="P48:P49"/>
    <mergeCell ref="Q48:Q49"/>
    <mergeCell ref="R48:R49"/>
    <mergeCell ref="S48:S49"/>
    <mergeCell ref="U48:U49"/>
    <mergeCell ref="N50:N51"/>
    <mergeCell ref="O50:O51"/>
    <mergeCell ref="P50:P51"/>
    <mergeCell ref="Q50:Q51"/>
    <mergeCell ref="R50:R51"/>
    <mergeCell ref="S50:S51"/>
    <mergeCell ref="U50:U51"/>
    <mergeCell ref="W56:W57"/>
    <mergeCell ref="X56:X57"/>
    <mergeCell ref="Y56:Y57"/>
    <mergeCell ref="N56:N57"/>
    <mergeCell ref="O56:O57"/>
    <mergeCell ref="P56:P57"/>
    <mergeCell ref="Q56:Q57"/>
    <mergeCell ref="R56:R57"/>
    <mergeCell ref="S56:S57"/>
    <mergeCell ref="U56:U57"/>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B96:B97"/>
    <mergeCell ref="B98:B99"/>
    <mergeCell ref="B100:B101"/>
    <mergeCell ref="B102:B103"/>
    <mergeCell ref="B104:B105"/>
    <mergeCell ref="B106:B107"/>
    <mergeCell ref="B108:B109"/>
    <mergeCell ref="B110:B111"/>
    <mergeCell ref="B112:B113"/>
    <mergeCell ref="B128:B129"/>
    <mergeCell ref="B130:B131"/>
    <mergeCell ref="B132:B133"/>
    <mergeCell ref="B134:B135"/>
    <mergeCell ref="B136:B137"/>
    <mergeCell ref="B138:B139"/>
    <mergeCell ref="B140:B141"/>
    <mergeCell ref="B114:B115"/>
    <mergeCell ref="B116:B117"/>
    <mergeCell ref="B118:B119"/>
    <mergeCell ref="B120:B121"/>
    <mergeCell ref="B122:B123"/>
    <mergeCell ref="B124:B125"/>
    <mergeCell ref="B126:B127"/>
    <mergeCell ref="B38:B39"/>
    <mergeCell ref="B40:B41"/>
    <mergeCell ref="P40:P41"/>
    <mergeCell ref="Q40:Q41"/>
    <mergeCell ref="R40:R41"/>
    <mergeCell ref="B42:B43"/>
    <mergeCell ref="R44:R45"/>
    <mergeCell ref="R46:R47"/>
    <mergeCell ref="S46:S47"/>
    <mergeCell ref="U46:U47"/>
    <mergeCell ref="W46:W47"/>
    <mergeCell ref="X46:X47"/>
    <mergeCell ref="Y46:Y47"/>
    <mergeCell ref="O40:O41"/>
    <mergeCell ref="N44:N45"/>
    <mergeCell ref="O44:O45"/>
    <mergeCell ref="N46:N47"/>
    <mergeCell ref="O46:O47"/>
    <mergeCell ref="P46:P47"/>
    <mergeCell ref="Q46:Q47"/>
    <mergeCell ref="W48:W49"/>
    <mergeCell ref="X48:X49"/>
    <mergeCell ref="Y48:Y49"/>
    <mergeCell ref="W50:W51"/>
    <mergeCell ref="X50:X51"/>
    <mergeCell ref="Y50:Y51"/>
    <mergeCell ref="W58:W59"/>
    <mergeCell ref="X58:X59"/>
    <mergeCell ref="Y58:Y59"/>
    <mergeCell ref="W60:W61"/>
    <mergeCell ref="X60:X61"/>
    <mergeCell ref="Y60:Y61"/>
    <mergeCell ref="W68:W69"/>
    <mergeCell ref="X68:X69"/>
    <mergeCell ref="Y68:Y69"/>
    <mergeCell ref="N68:N69"/>
    <mergeCell ref="O68:O69"/>
    <mergeCell ref="P68:P69"/>
    <mergeCell ref="Q68:Q69"/>
    <mergeCell ref="R68:R69"/>
    <mergeCell ref="S68:S69"/>
    <mergeCell ref="U68:U69"/>
    <mergeCell ref="W70:W71"/>
    <mergeCell ref="X70:X71"/>
    <mergeCell ref="Y70:Y71"/>
    <mergeCell ref="N70:N71"/>
    <mergeCell ref="O70:O71"/>
    <mergeCell ref="P70:P71"/>
    <mergeCell ref="Q70:Q71"/>
    <mergeCell ref="R70:R71"/>
    <mergeCell ref="S70:S71"/>
    <mergeCell ref="U70:U71"/>
    <mergeCell ref="N134:N135"/>
    <mergeCell ref="O134:O135"/>
    <mergeCell ref="P134:P135"/>
    <mergeCell ref="Q134:Q135"/>
    <mergeCell ref="R134:R135"/>
    <mergeCell ref="S134:S135"/>
    <mergeCell ref="U134:U135"/>
    <mergeCell ref="N136:N137"/>
    <mergeCell ref="O136:O137"/>
    <mergeCell ref="P136:P137"/>
    <mergeCell ref="Q136:Q137"/>
    <mergeCell ref="R136:R137"/>
    <mergeCell ref="S136:S137"/>
    <mergeCell ref="U136:U137"/>
    <mergeCell ref="W140:W141"/>
    <mergeCell ref="X140:X141"/>
    <mergeCell ref="Y140:Y141"/>
    <mergeCell ref="N140:N141"/>
    <mergeCell ref="O140:O141"/>
    <mergeCell ref="P140:P141"/>
    <mergeCell ref="Q140:Q141"/>
    <mergeCell ref="R140:R141"/>
    <mergeCell ref="S140:S141"/>
    <mergeCell ref="U140:U141"/>
    <mergeCell ref="Q142:Q143"/>
    <mergeCell ref="W36:W37"/>
    <mergeCell ref="Y36:Y37"/>
    <mergeCell ref="AZ36:AZ37"/>
    <mergeCell ref="BC36:BC37"/>
    <mergeCell ref="BD36:BD37"/>
    <mergeCell ref="BE36:BE37"/>
    <mergeCell ref="BJ36:BJ37"/>
    <mergeCell ref="BL36:BL37"/>
    <mergeCell ref="N36:N37"/>
    <mergeCell ref="O36:O37"/>
    <mergeCell ref="P36:P37"/>
    <mergeCell ref="Q36:Q37"/>
    <mergeCell ref="R36:R37"/>
    <mergeCell ref="S36:S37"/>
    <mergeCell ref="U36:U37"/>
    <mergeCell ref="BE38:BE39"/>
    <mergeCell ref="BJ38:BJ39"/>
    <mergeCell ref="W38:W39"/>
    <mergeCell ref="X38:X39"/>
    <mergeCell ref="Y38:Y39"/>
    <mergeCell ref="AK38:AK39"/>
    <mergeCell ref="AZ38:AZ39"/>
    <mergeCell ref="BC38:BC39"/>
    <mergeCell ref="BD38:BD39"/>
    <mergeCell ref="T1:V1"/>
    <mergeCell ref="F2:H2"/>
    <mergeCell ref="J2:T2"/>
    <mergeCell ref="B3:G3"/>
    <mergeCell ref="J3:N3"/>
    <mergeCell ref="P3:T3"/>
    <mergeCell ref="P4:T4"/>
    <mergeCell ref="J10:T10"/>
    <mergeCell ref="P11:T11"/>
    <mergeCell ref="U11:V11"/>
    <mergeCell ref="B4:H4"/>
    <mergeCell ref="B5:F5"/>
    <mergeCell ref="B6:F6"/>
    <mergeCell ref="G6:H6"/>
    <mergeCell ref="P7:T7"/>
    <mergeCell ref="J8:T9"/>
    <mergeCell ref="B10:H11"/>
    <mergeCell ref="S25:U25"/>
    <mergeCell ref="S26:U26"/>
    <mergeCell ref="S27:U27"/>
    <mergeCell ref="S28:U28"/>
    <mergeCell ref="J30:T30"/>
    <mergeCell ref="BR34:BU34"/>
    <mergeCell ref="BZ34:CA34"/>
    <mergeCell ref="N35:S35"/>
    <mergeCell ref="B13:F13"/>
    <mergeCell ref="J13:T15"/>
    <mergeCell ref="J16:P17"/>
    <mergeCell ref="J18:U19"/>
    <mergeCell ref="B20:H21"/>
    <mergeCell ref="J20:M20"/>
    <mergeCell ref="B22:H25"/>
    <mergeCell ref="N38:N39"/>
    <mergeCell ref="O38:O39"/>
    <mergeCell ref="P38:P39"/>
    <mergeCell ref="Q38:Q39"/>
    <mergeCell ref="R38:R39"/>
    <mergeCell ref="S38:S39"/>
    <mergeCell ref="U38:U39"/>
    <mergeCell ref="BL38:BL39"/>
    <mergeCell ref="J22:M22"/>
    <mergeCell ref="J25:M25"/>
    <mergeCell ref="J26:M26"/>
    <mergeCell ref="B27:H30"/>
    <mergeCell ref="J27:M27"/>
    <mergeCell ref="B31:I32"/>
    <mergeCell ref="B36:B37"/>
    <mergeCell ref="BC40:BC41"/>
    <mergeCell ref="BD40:BD41"/>
    <mergeCell ref="BE40:BE41"/>
    <mergeCell ref="BJ40:BJ41"/>
    <mergeCell ref="BL40:BL41"/>
    <mergeCell ref="S40:S41"/>
    <mergeCell ref="U40:U41"/>
    <mergeCell ref="W40:W41"/>
    <mergeCell ref="X40:X41"/>
    <mergeCell ref="Y40:Y41"/>
    <mergeCell ref="AK40:AK41"/>
    <mergeCell ref="AZ40:AZ41"/>
    <mergeCell ref="N40:N41"/>
    <mergeCell ref="N42:N43"/>
    <mergeCell ref="O42:O43"/>
    <mergeCell ref="P42:P43"/>
    <mergeCell ref="AK42:AK43"/>
    <mergeCell ref="AZ42:AZ43"/>
    <mergeCell ref="BC42:BC43"/>
    <mergeCell ref="BD42:BD43"/>
    <mergeCell ref="BE42:BE43"/>
    <mergeCell ref="BJ42:BJ43"/>
    <mergeCell ref="BL42:BL43"/>
    <mergeCell ref="Q42:Q43"/>
    <mergeCell ref="R42:R43"/>
    <mergeCell ref="S42:S43"/>
    <mergeCell ref="U42:U43"/>
    <mergeCell ref="W42:W43"/>
    <mergeCell ref="X42:X43"/>
    <mergeCell ref="Y42:Y43"/>
    <mergeCell ref="P44:P45"/>
    <mergeCell ref="Q44:Q45"/>
    <mergeCell ref="S44:S45"/>
    <mergeCell ref="U44:U45"/>
    <mergeCell ref="W44:W45"/>
    <mergeCell ref="X44:X45"/>
    <mergeCell ref="Y44:Y45"/>
    <mergeCell ref="W52:W53"/>
    <mergeCell ref="X52:X53"/>
    <mergeCell ref="Y52:Y53"/>
    <mergeCell ref="N52:N53"/>
    <mergeCell ref="O52:O53"/>
    <mergeCell ref="P52:P53"/>
    <mergeCell ref="Q52:Q53"/>
    <mergeCell ref="R52:R53"/>
    <mergeCell ref="S52:S53"/>
    <mergeCell ref="U52:U53"/>
    <mergeCell ref="W54:W55"/>
    <mergeCell ref="X54:X55"/>
    <mergeCell ref="Y54:Y55"/>
    <mergeCell ref="N54:N55"/>
    <mergeCell ref="O54:O55"/>
    <mergeCell ref="P54:P55"/>
    <mergeCell ref="Q54:Q55"/>
    <mergeCell ref="R54:R55"/>
    <mergeCell ref="S54:S55"/>
    <mergeCell ref="U54:U55"/>
    <mergeCell ref="BD60:BD61"/>
    <mergeCell ref="BE60:BE61"/>
    <mergeCell ref="BC56:BC57"/>
    <mergeCell ref="BD56:BD57"/>
    <mergeCell ref="BE56:BE57"/>
    <mergeCell ref="BC58:BC59"/>
    <mergeCell ref="BD58:BD59"/>
    <mergeCell ref="BE58:BE59"/>
    <mergeCell ref="BC60:BC61"/>
    <mergeCell ref="N78:N79"/>
    <mergeCell ref="O78:O79"/>
    <mergeCell ref="P78:P79"/>
    <mergeCell ref="Q78:Q79"/>
    <mergeCell ref="R78:R79"/>
    <mergeCell ref="S78:S79"/>
    <mergeCell ref="U78:U79"/>
    <mergeCell ref="N80:N81"/>
    <mergeCell ref="O80:O81"/>
    <mergeCell ref="P80:P81"/>
    <mergeCell ref="Q80:Q81"/>
    <mergeCell ref="R80:R81"/>
    <mergeCell ref="S80:S81"/>
    <mergeCell ref="U80:U81"/>
    <mergeCell ref="W72:W73"/>
    <mergeCell ref="X72:X73"/>
    <mergeCell ref="Y72:Y73"/>
    <mergeCell ref="N72:N73"/>
    <mergeCell ref="O72:O73"/>
    <mergeCell ref="P72:P73"/>
    <mergeCell ref="Q72:Q73"/>
    <mergeCell ref="R72:R73"/>
    <mergeCell ref="S72:S73"/>
    <mergeCell ref="U72:U73"/>
    <mergeCell ref="W76:W77"/>
    <mergeCell ref="X76:X77"/>
    <mergeCell ref="Y76:Y77"/>
    <mergeCell ref="N76:N77"/>
    <mergeCell ref="O76:O77"/>
    <mergeCell ref="P76:P77"/>
    <mergeCell ref="Q76:Q77"/>
    <mergeCell ref="R76:R77"/>
    <mergeCell ref="S76:S77"/>
    <mergeCell ref="U76:U77"/>
    <mergeCell ref="W78:W79"/>
    <mergeCell ref="X78:X79"/>
    <mergeCell ref="Y78:Y79"/>
    <mergeCell ref="W80:W81"/>
    <mergeCell ref="X80:X81"/>
    <mergeCell ref="Y80:Y81"/>
    <mergeCell ref="W84:W85"/>
    <mergeCell ref="X84:X85"/>
    <mergeCell ref="Y84:Y85"/>
    <mergeCell ref="N84:N85"/>
    <mergeCell ref="O84:O85"/>
    <mergeCell ref="P84:P85"/>
    <mergeCell ref="Q84:Q85"/>
    <mergeCell ref="R84:R85"/>
    <mergeCell ref="S84:S85"/>
    <mergeCell ref="U84:U85"/>
    <mergeCell ref="N88:N89"/>
    <mergeCell ref="O88:O89"/>
    <mergeCell ref="P88:P89"/>
    <mergeCell ref="Q88:Q89"/>
    <mergeCell ref="R88:R89"/>
    <mergeCell ref="S88:S89"/>
    <mergeCell ref="U88:U89"/>
    <mergeCell ref="N90:N91"/>
    <mergeCell ref="O90:O91"/>
    <mergeCell ref="P90:P91"/>
    <mergeCell ref="Q90:Q91"/>
    <mergeCell ref="R90:R91"/>
    <mergeCell ref="S90:S91"/>
    <mergeCell ref="U90:U91"/>
    <mergeCell ref="W82:W83"/>
    <mergeCell ref="X82:X83"/>
    <mergeCell ref="Y82:Y83"/>
    <mergeCell ref="N82:N83"/>
    <mergeCell ref="O82:O83"/>
    <mergeCell ref="P82:P83"/>
    <mergeCell ref="Q82:Q83"/>
    <mergeCell ref="R82:R83"/>
    <mergeCell ref="S82:S83"/>
    <mergeCell ref="U82:U83"/>
    <mergeCell ref="W86:W87"/>
    <mergeCell ref="X86:X87"/>
    <mergeCell ref="Y86:Y87"/>
    <mergeCell ref="N86:N87"/>
    <mergeCell ref="O86:O87"/>
    <mergeCell ref="P86:P87"/>
    <mergeCell ref="Q86:Q87"/>
    <mergeCell ref="R86:R87"/>
    <mergeCell ref="S86:S87"/>
    <mergeCell ref="U86:U87"/>
    <mergeCell ref="W88:W89"/>
    <mergeCell ref="X88:X89"/>
    <mergeCell ref="Y88:Y89"/>
    <mergeCell ref="W90:W91"/>
    <mergeCell ref="X90:X91"/>
    <mergeCell ref="Y90:Y91"/>
    <mergeCell ref="W94:W95"/>
    <mergeCell ref="X94:X95"/>
    <mergeCell ref="Y94:Y95"/>
    <mergeCell ref="N94:N95"/>
    <mergeCell ref="O94:O95"/>
    <mergeCell ref="P94:P95"/>
    <mergeCell ref="Q94:Q95"/>
    <mergeCell ref="R94:R95"/>
    <mergeCell ref="S94:S95"/>
    <mergeCell ref="U94:U95"/>
    <mergeCell ref="N98:N99"/>
    <mergeCell ref="O98:O99"/>
    <mergeCell ref="P98:P99"/>
    <mergeCell ref="Q98:Q99"/>
    <mergeCell ref="R98:R99"/>
    <mergeCell ref="S98:S99"/>
    <mergeCell ref="U98:U99"/>
    <mergeCell ref="N100:N101"/>
    <mergeCell ref="O100:O101"/>
    <mergeCell ref="P100:P101"/>
    <mergeCell ref="Q100:Q101"/>
    <mergeCell ref="R100:R101"/>
    <mergeCell ref="S100:S101"/>
    <mergeCell ref="U100:U101"/>
    <mergeCell ref="W92:W93"/>
    <mergeCell ref="X92:X93"/>
    <mergeCell ref="Y92:Y93"/>
    <mergeCell ref="N92:N93"/>
    <mergeCell ref="O92:O93"/>
    <mergeCell ref="P92:P93"/>
    <mergeCell ref="Q92:Q93"/>
    <mergeCell ref="R92:R93"/>
    <mergeCell ref="S92:S93"/>
    <mergeCell ref="U92:U93"/>
    <mergeCell ref="W96:W97"/>
    <mergeCell ref="X96:X97"/>
    <mergeCell ref="Y96:Y97"/>
    <mergeCell ref="N96:N97"/>
    <mergeCell ref="O96:O97"/>
    <mergeCell ref="P96:P97"/>
    <mergeCell ref="Q96:Q97"/>
    <mergeCell ref="R96:R97"/>
    <mergeCell ref="S96:S97"/>
    <mergeCell ref="U96:U97"/>
    <mergeCell ref="W98:W99"/>
    <mergeCell ref="X98:X99"/>
    <mergeCell ref="Y98:Y99"/>
    <mergeCell ref="W100:W101"/>
    <mergeCell ref="X100:X101"/>
    <mergeCell ref="Y100:Y101"/>
    <mergeCell ref="W104:W105"/>
    <mergeCell ref="X104:X105"/>
    <mergeCell ref="Y104:Y105"/>
    <mergeCell ref="N104:N105"/>
    <mergeCell ref="O104:O105"/>
    <mergeCell ref="P104:P105"/>
    <mergeCell ref="Q104:Q105"/>
    <mergeCell ref="R104:R105"/>
    <mergeCell ref="S104:S105"/>
    <mergeCell ref="U104:U105"/>
    <mergeCell ref="BC96:BC97"/>
    <mergeCell ref="BD96:BD97"/>
    <mergeCell ref="AZ98:AZ99"/>
    <mergeCell ref="BC98:BC99"/>
    <mergeCell ref="BD98:BD99"/>
    <mergeCell ref="BE98:BE99"/>
    <mergeCell ref="BE100:BE101"/>
    <mergeCell ref="BC100:BC101"/>
    <mergeCell ref="BD100:BD101"/>
    <mergeCell ref="BC102:BC103"/>
    <mergeCell ref="BD102:BD103"/>
    <mergeCell ref="BE102:BE103"/>
    <mergeCell ref="BD104:BD105"/>
    <mergeCell ref="BE104:BE105"/>
    <mergeCell ref="BC110:BC111"/>
    <mergeCell ref="BC112:BC113"/>
    <mergeCell ref="BC114:BC115"/>
    <mergeCell ref="BD114:BD115"/>
    <mergeCell ref="BE114:BE115"/>
    <mergeCell ref="BJ114:BJ115"/>
    <mergeCell ref="BL114:BL115"/>
    <mergeCell ref="AZ114:AZ115"/>
    <mergeCell ref="AZ116:AZ117"/>
    <mergeCell ref="BC116:BC117"/>
    <mergeCell ref="BD116:BD117"/>
    <mergeCell ref="BE116:BE117"/>
    <mergeCell ref="BJ116:BJ117"/>
    <mergeCell ref="BL116:BL117"/>
    <mergeCell ref="BC118:BC119"/>
    <mergeCell ref="BD118:BD119"/>
    <mergeCell ref="BE118:BE119"/>
    <mergeCell ref="BJ118:BJ119"/>
    <mergeCell ref="BL118:BL119"/>
    <mergeCell ref="AZ118:AZ119"/>
    <mergeCell ref="AZ120:AZ121"/>
    <mergeCell ref="BC120:BC121"/>
    <mergeCell ref="BD120:BD121"/>
    <mergeCell ref="BE120:BE121"/>
    <mergeCell ref="BJ120:BJ121"/>
    <mergeCell ref="BL120:BL121"/>
    <mergeCell ref="BC122:BC123"/>
    <mergeCell ref="BD122:BD123"/>
    <mergeCell ref="BE122:BE123"/>
    <mergeCell ref="BJ122:BJ123"/>
    <mergeCell ref="BL122:BL123"/>
    <mergeCell ref="AZ122:AZ123"/>
    <mergeCell ref="AZ124:AZ125"/>
    <mergeCell ref="BC124:BC125"/>
    <mergeCell ref="BD124:BD125"/>
    <mergeCell ref="BE124:BE125"/>
    <mergeCell ref="BJ124:BJ125"/>
    <mergeCell ref="BL124:BL125"/>
    <mergeCell ref="BC126:BC127"/>
    <mergeCell ref="BD126:BD127"/>
    <mergeCell ref="BE126:BE127"/>
    <mergeCell ref="BJ126:BJ127"/>
    <mergeCell ref="BL126:BL127"/>
    <mergeCell ref="AZ126:AZ127"/>
    <mergeCell ref="AZ128:AZ129"/>
    <mergeCell ref="BC128:BC129"/>
    <mergeCell ref="BD128:BD129"/>
    <mergeCell ref="BE128:BE129"/>
    <mergeCell ref="BJ128:BJ129"/>
    <mergeCell ref="BL128:BL129"/>
    <mergeCell ref="BC130:BC131"/>
    <mergeCell ref="BD130:BD131"/>
    <mergeCell ref="BE130:BE131"/>
    <mergeCell ref="BJ130:BJ131"/>
    <mergeCell ref="BL130:BL131"/>
    <mergeCell ref="AZ130:AZ131"/>
    <mergeCell ref="AZ132:AZ133"/>
    <mergeCell ref="BC132:BC133"/>
    <mergeCell ref="BD132:BD133"/>
    <mergeCell ref="BE132:BE133"/>
    <mergeCell ref="BJ132:BJ133"/>
    <mergeCell ref="BL132:BL133"/>
    <mergeCell ref="BC134:BC135"/>
    <mergeCell ref="BD134:BD135"/>
    <mergeCell ref="BE134:BE135"/>
    <mergeCell ref="BJ134:BJ135"/>
    <mergeCell ref="BL134:BL135"/>
    <mergeCell ref="AZ134:AZ135"/>
    <mergeCell ref="AZ136:AZ137"/>
    <mergeCell ref="BC136:BC137"/>
    <mergeCell ref="BD136:BD137"/>
    <mergeCell ref="BE136:BE137"/>
    <mergeCell ref="BJ136:BJ137"/>
    <mergeCell ref="BL136:BL137"/>
    <mergeCell ref="BD90:BD91"/>
    <mergeCell ref="BE90:BE91"/>
    <mergeCell ref="AZ92:AZ93"/>
    <mergeCell ref="BC92:BC93"/>
    <mergeCell ref="BD92:BD93"/>
    <mergeCell ref="BE92:BE93"/>
    <mergeCell ref="BJ92:BJ93"/>
    <mergeCell ref="BL92:BL93"/>
    <mergeCell ref="AZ84:AZ85"/>
    <mergeCell ref="AZ86:AZ87"/>
    <mergeCell ref="BC86:BC87"/>
    <mergeCell ref="BD86:BD87"/>
    <mergeCell ref="BE86:BE87"/>
    <mergeCell ref="AZ88:AZ89"/>
    <mergeCell ref="AZ90:AZ91"/>
    <mergeCell ref="AZ94:AZ95"/>
    <mergeCell ref="BC94:BC95"/>
    <mergeCell ref="BD94:BD95"/>
    <mergeCell ref="BE94:BE95"/>
    <mergeCell ref="BL94:BL95"/>
    <mergeCell ref="AZ96:AZ97"/>
    <mergeCell ref="BE96:BE97"/>
    <mergeCell ref="BL96:BL97"/>
    <mergeCell ref="BC104:BC105"/>
    <mergeCell ref="BC106:BC107"/>
    <mergeCell ref="BD106:BD107"/>
    <mergeCell ref="BE106:BE107"/>
    <mergeCell ref="BJ106:BJ107"/>
    <mergeCell ref="BL106:BL107"/>
    <mergeCell ref="BC138:BC139"/>
    <mergeCell ref="BD138:BD139"/>
    <mergeCell ref="BE138:BE139"/>
    <mergeCell ref="BJ138:BJ139"/>
    <mergeCell ref="BL138:BL139"/>
    <mergeCell ref="AZ138:AZ139"/>
    <mergeCell ref="AZ140:AZ141"/>
    <mergeCell ref="BC140:BC141"/>
    <mergeCell ref="BD140:BD141"/>
    <mergeCell ref="BE140:BE141"/>
    <mergeCell ref="BJ140:BJ141"/>
    <mergeCell ref="BL140:BL141"/>
    <mergeCell ref="AZ100:AZ101"/>
    <mergeCell ref="AZ102:AZ103"/>
    <mergeCell ref="AZ104:AZ105"/>
    <mergeCell ref="AZ106:AZ107"/>
    <mergeCell ref="AZ108:AZ109"/>
    <mergeCell ref="AZ110:AZ111"/>
    <mergeCell ref="AZ112:AZ113"/>
    <mergeCell ref="N108:N109"/>
    <mergeCell ref="O108:O109"/>
    <mergeCell ref="P108:P109"/>
    <mergeCell ref="Q108:Q109"/>
    <mergeCell ref="R108:R109"/>
    <mergeCell ref="S108:S109"/>
    <mergeCell ref="U108:U109"/>
    <mergeCell ref="N110:N111"/>
    <mergeCell ref="O110:O111"/>
    <mergeCell ref="P110:P111"/>
    <mergeCell ref="Q110:Q111"/>
    <mergeCell ref="R110:R111"/>
    <mergeCell ref="S110:S111"/>
    <mergeCell ref="U110:U111"/>
    <mergeCell ref="AK114:AK115"/>
    <mergeCell ref="AK116:AK117"/>
    <mergeCell ref="AK118:AK119"/>
    <mergeCell ref="AK120:AK121"/>
    <mergeCell ref="AK122:AK123"/>
    <mergeCell ref="AK124:AK125"/>
    <mergeCell ref="AK126:AK127"/>
    <mergeCell ref="AK142:AK143"/>
    <mergeCell ref="AK144:AK145"/>
    <mergeCell ref="AK128:AK129"/>
    <mergeCell ref="AK130:AK131"/>
    <mergeCell ref="AK132:AK133"/>
    <mergeCell ref="AK134:AK135"/>
    <mergeCell ref="AK136:AK137"/>
    <mergeCell ref="AK138:AK139"/>
    <mergeCell ref="AK140:AK141"/>
    <mergeCell ref="W102:W103"/>
    <mergeCell ref="X102:X103"/>
    <mergeCell ref="Y102:Y103"/>
    <mergeCell ref="N102:N103"/>
    <mergeCell ref="O102:O103"/>
    <mergeCell ref="P102:P103"/>
    <mergeCell ref="Q102:Q103"/>
    <mergeCell ref="R102:R103"/>
    <mergeCell ref="S102:S103"/>
    <mergeCell ref="U102:U103"/>
    <mergeCell ref="W106:W107"/>
    <mergeCell ref="X106:X107"/>
    <mergeCell ref="Y106:Y107"/>
    <mergeCell ref="N106:N107"/>
    <mergeCell ref="O106:O107"/>
    <mergeCell ref="P106:P107"/>
    <mergeCell ref="Q106:Q107"/>
    <mergeCell ref="R106:R107"/>
    <mergeCell ref="S106:S107"/>
    <mergeCell ref="U106:U107"/>
    <mergeCell ref="W108:W109"/>
    <mergeCell ref="X108:X109"/>
    <mergeCell ref="Y108:Y109"/>
    <mergeCell ref="W110:W111"/>
    <mergeCell ref="X110:X111"/>
    <mergeCell ref="Y110:Y111"/>
    <mergeCell ref="W114:W115"/>
    <mergeCell ref="X114:X115"/>
    <mergeCell ref="Y114:Y115"/>
    <mergeCell ref="N114:N115"/>
    <mergeCell ref="O114:O115"/>
    <mergeCell ref="P114:P115"/>
    <mergeCell ref="Q114:Q115"/>
    <mergeCell ref="R114:R115"/>
    <mergeCell ref="S114:S115"/>
    <mergeCell ref="U114:U115"/>
    <mergeCell ref="N118:N119"/>
    <mergeCell ref="O118:O119"/>
    <mergeCell ref="P118:P119"/>
    <mergeCell ref="Q118:Q119"/>
    <mergeCell ref="R118:R119"/>
    <mergeCell ref="S118:S119"/>
    <mergeCell ref="U118:U119"/>
    <mergeCell ref="N120:N121"/>
    <mergeCell ref="O120:O121"/>
    <mergeCell ref="P120:P121"/>
    <mergeCell ref="Q120:Q121"/>
    <mergeCell ref="R120:R121"/>
    <mergeCell ref="S120:S121"/>
    <mergeCell ref="U120:U121"/>
    <mergeCell ref="W112:W113"/>
    <mergeCell ref="X112:X113"/>
    <mergeCell ref="Y112:Y113"/>
    <mergeCell ref="N112:N113"/>
    <mergeCell ref="O112:O113"/>
    <mergeCell ref="P112:P113"/>
    <mergeCell ref="Q112:Q113"/>
    <mergeCell ref="R112:R113"/>
    <mergeCell ref="S112:S113"/>
    <mergeCell ref="U112:U113"/>
    <mergeCell ref="W116:W117"/>
    <mergeCell ref="X116:X117"/>
    <mergeCell ref="Y116:Y117"/>
    <mergeCell ref="N116:N117"/>
    <mergeCell ref="O116:O117"/>
    <mergeCell ref="P116:P117"/>
    <mergeCell ref="Q116:Q117"/>
    <mergeCell ref="R116:R117"/>
    <mergeCell ref="S116:S117"/>
    <mergeCell ref="U116:U117"/>
    <mergeCell ref="W118:W119"/>
    <mergeCell ref="X118:X119"/>
    <mergeCell ref="Y118:Y119"/>
    <mergeCell ref="W120:W121"/>
    <mergeCell ref="X120:X121"/>
    <mergeCell ref="Y120:Y121"/>
    <mergeCell ref="N124:N125"/>
    <mergeCell ref="O124:O125"/>
  </mergeCells>
  <conditionalFormatting sqref="U16">
    <cfRule type="expression" dxfId="0" priority="1">
      <formula>and(isblank(Q16),P3="Disable")</formula>
    </cfRule>
  </conditionalFormatting>
  <conditionalFormatting sqref="V16:X16">
    <cfRule type="expression" dxfId="0" priority="2">
      <formula>and(isblank(R16),Q3="Disable")</formula>
    </cfRule>
  </conditionalFormatting>
  <conditionalFormatting sqref="S36:S142">
    <cfRule type="cellIs" dxfId="1" priority="3" operator="lessThan">
      <formula>0</formula>
    </cfRule>
  </conditionalFormatting>
  <conditionalFormatting sqref="S36:S142">
    <cfRule type="cellIs" dxfId="2" priority="4" operator="greaterThan">
      <formula>0</formula>
    </cfRule>
  </conditionalFormatting>
  <conditionalFormatting sqref="B18">
    <cfRule type="expression" dxfId="3" priority="5">
      <formula>and($G$13="Enable",$G$9="Female")</formula>
    </cfRule>
  </conditionalFormatting>
  <conditionalFormatting sqref="B18">
    <cfRule type="cellIs" dxfId="4" priority="6" operator="equal">
      <formula>"Your Estimated BF % is:"</formula>
    </cfRule>
  </conditionalFormatting>
  <conditionalFormatting sqref="G18">
    <cfRule type="expression" dxfId="5" priority="7">
      <formula>and($G$9&lt;&gt;"Female",$G$13="Enable")</formula>
    </cfRule>
  </conditionalFormatting>
  <conditionalFormatting sqref="G18">
    <cfRule type="expression" dxfId="6" priority="8">
      <formula>and($G$13="Enable",$G$9="Female")</formula>
    </cfRule>
  </conditionalFormatting>
  <conditionalFormatting sqref="B10:H10 Z11:AB11">
    <cfRule type="expression" dxfId="7" priority="9">
      <formula>count($G$7:$G$10)&lt;&gt;2</formula>
    </cfRule>
  </conditionalFormatting>
  <conditionalFormatting sqref="B10:H10 Z11:AB11 B20:H20 B22:B24 B27 J30">
    <cfRule type="expression" dxfId="5" priority="10">
      <formula>$V$2=true</formula>
    </cfRule>
  </conditionalFormatting>
  <conditionalFormatting sqref="B27">
    <cfRule type="expression" dxfId="8" priority="11">
      <formula>count($U$36:$U$42)&lt;4</formula>
    </cfRule>
  </conditionalFormatting>
  <conditionalFormatting sqref="E36:K36 E38:K38 E40:K40 E42:K42 E44:K44 E46:K46 E48:K48 E50:K50 E52:K52 E54:K54 E56:K56 E58:K58 E60:K60 E62:K62 E64:K64 E66:K66 E68:K68 E70:K70 E72:K72 E74:K74 E76:K76 E78:K78 E80:G80 H80:K90 E82:G82 E84:G84 E86:G86 E88:G88 E90:G90 E92:K92 E94:K94 E96:K96 E98:K98 E100:K100 E102:K102 E104:K104 E106:K106 E108:K108 E110:K110 E112:K112 E114:K114 E116:K116 E118:K118 E120:K120 E122:K122 E124:K124 E126:K126 E128:K128 E130:K130 E132:K132 E134:K134 E136:K136 E138:K138 E140:K140">
    <cfRule type="expression" dxfId="9" priority="12">
      <formula>AND($BD$24=TRUE,ROW()=$BA$35,COLUMN()=$BB$35)</formula>
    </cfRule>
  </conditionalFormatting>
  <conditionalFormatting sqref="L36 Q36 L38 Q38 L40 Q40 L42 Q42 L44 Q44 L46 Q46 L48 Q48 L50 Q50 L52 Q52 L54 Q54 L56 Q56 L58 Q58 L60 Q60 L62 Q62 L64 Q64 L66 Q66 L68 Q68 L70 Q70 L72 Q72 L74 Q74 L76 Q76 L78 Q78 L80 Q80 L82 Q82 L84 Q84 L86 Q86 L88 Q88 L90 Q90 L92 Q92 L94 Q94 L96 Q96 L98 Q98 L100 Q100 L102 Q102 L104 Q104 L106 Q106 L108 Q108 L110 Q110 L112 Q112 L114 Q114 L116 Q116 L118 Q118 L120 Q120 L122 Q122 L124 Q124 L126 Q126 L128 Q128 L130 Q130 L132 Q132 L134 Q134 L136 Q136 L138 Q138 L140 Q140">
    <cfRule type="expression" dxfId="10" priority="13">
      <formula>false</formula>
    </cfRule>
  </conditionalFormatting>
  <conditionalFormatting sqref="Z16:AA17 V17:Y17">
    <cfRule type="expression" dxfId="0" priority="14">
      <formula>and(isblank(U11),#REF!="Disable")</formula>
    </cfRule>
  </conditionalFormatting>
  <conditionalFormatting sqref="J4:T7 J10:T12">
    <cfRule type="expression" dxfId="11" priority="15">
      <formula>$P$3&lt;&gt;"Enable"</formula>
    </cfRule>
  </conditionalFormatting>
  <conditionalFormatting sqref="J8:T15">
    <cfRule type="expression" dxfId="12" priority="16">
      <formula>and($P$3&lt;&gt;"Enable")</formula>
    </cfRule>
  </conditionalFormatting>
  <conditionalFormatting sqref="J16:T17">
    <cfRule type="expression" dxfId="11" priority="17">
      <formula>$P$3&lt;&gt;"Disable"</formula>
    </cfRule>
  </conditionalFormatting>
  <conditionalFormatting sqref="U11:V11">
    <cfRule type="expression" dxfId="0" priority="18">
      <formula>if(and(P7&lt;&gt;"",BD24=TRUE,countif(AY4:AY7,P11)=0,P3="Enable"),TRUE,FALSE)</formula>
    </cfRule>
  </conditionalFormatting>
  <conditionalFormatting sqref="J30:T30">
    <cfRule type="notContainsBlanks" dxfId="13" priority="19">
      <formula>LEN(TRIM(J30))&gt;0</formula>
    </cfRule>
  </conditionalFormatting>
  <conditionalFormatting sqref="J8:T9">
    <cfRule type="expression" dxfId="8" priority="20">
      <formula>and(P3="Enable",AW11&lt;&gt;"")</formula>
    </cfRule>
  </conditionalFormatting>
  <conditionalFormatting sqref="B14:H19">
    <cfRule type="expression" dxfId="11" priority="21">
      <formula>if($G$13&lt;&gt;"Enable",true,false)</formula>
    </cfRule>
  </conditionalFormatting>
  <conditionalFormatting sqref="B20:H20">
    <cfRule type="notContainsBlanks" dxfId="14" priority="22">
      <formula>LEN(TRIM(B20))&gt;0</formula>
    </cfRule>
  </conditionalFormatting>
  <conditionalFormatting sqref="J10:T10">
    <cfRule type="expression" dxfId="13" priority="23">
      <formula>and(P3="Enable",BC10&lt;&gt;"")</formula>
    </cfRule>
  </conditionalFormatting>
  <conditionalFormatting sqref="P36:P141">
    <cfRule type="expression" dxfId="15" priority="24">
      <formula>$G$9="Male"</formula>
    </cfRule>
  </conditionalFormatting>
  <dataValidations>
    <dataValidation type="list" allowBlank="1" showInputMessage="1" showErrorMessage="1" prompt="Select MAIN goal from list" sqref="P7">
      <formula1>$BA$4:$BA$6</formula1>
    </dataValidation>
    <dataValidation type="list" allowBlank="1" showErrorMessage="1" sqref="G9">
      <formula1>"Male,Female"</formula1>
    </dataValidation>
    <dataValidation type="list" allowBlank="1" showInputMessage="1" showErrorMessage="1" prompt="Select from recommended list" sqref="P11">
      <formula1>$AY$4:$AY$7</formula1>
    </dataValidation>
    <dataValidation type="list" allowBlank="1" showErrorMessage="1" sqref="P4">
      <formula1>"Beginner,Intermediate"</formula1>
    </dataValidation>
    <dataValidation type="list" allowBlank="1" showErrorMessage="1" sqref="G5">
      <formula1>"Lb,Kg"</formula1>
    </dataValidation>
    <dataValidation type="list" allowBlank="1" showErrorMessage="1" sqref="G14">
      <formula1>"Inch,cm"</formula1>
    </dataValidation>
    <dataValidation type="list" allowBlank="1" showErrorMessage="1" sqref="P3 G13">
      <formula1>"Enable,Disable"</formula1>
    </dataValidation>
    <dataValidation type="custom" allowBlank="1" showDropDown="1" showErrorMessage="1" sqref="G6">
      <formula1>OR(NOT(ISERROR(DATEVALUE(G6))), AND(ISNUMBER(G6), LEFT(CELL("format", G6))="D"))</formula1>
    </dataValidation>
  </dataValidations>
  <printOptions/>
  <pageMargins bottom="0.31496062992125984" footer="0.0" header="0.0" left="0.4330708661417323" right="0.35433070866141736" top="0.31496062992125984"/>
  <pageSetup scale="7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3.5"/>
    <col customWidth="1" min="2" max="4" width="12.0"/>
    <col customWidth="1" min="5" max="5" width="2.75"/>
    <col customWidth="1" min="6" max="8" width="12.0"/>
    <col customWidth="1" min="9" max="9" width="11.5"/>
    <col customWidth="1" min="10" max="10" width="12.38"/>
    <col customWidth="1" min="11" max="11" width="4.13"/>
    <col customWidth="1" min="12" max="12" width="1.5"/>
    <col customWidth="1" min="13" max="15" width="12.0"/>
    <col customWidth="1" min="16" max="16" width="1.88"/>
    <col customWidth="1" min="17" max="19" width="12.0"/>
    <col customWidth="1" min="20" max="20" width="2.88"/>
  </cols>
  <sheetData>
    <row r="1" ht="84.0" customHeight="1">
      <c r="A1" s="7"/>
      <c r="E1" s="4"/>
      <c r="I1" s="4"/>
      <c r="J1" s="4"/>
      <c r="K1" s="13"/>
      <c r="L1" s="7"/>
      <c r="M1" s="12"/>
      <c r="N1" s="4"/>
      <c r="O1" s="4"/>
      <c r="P1" s="312"/>
      <c r="Q1" s="4"/>
      <c r="R1" s="4"/>
      <c r="S1" s="4"/>
      <c r="T1" s="7"/>
    </row>
    <row r="2" ht="33.75" customHeight="1">
      <c r="A2" s="313"/>
      <c r="B2" s="314" t="s">
        <v>142</v>
      </c>
      <c r="C2" s="315"/>
      <c r="D2" s="315"/>
      <c r="E2" s="315"/>
      <c r="F2" s="315"/>
      <c r="G2" s="315"/>
      <c r="H2" s="315"/>
      <c r="I2" s="315"/>
      <c r="J2" s="315"/>
      <c r="K2" s="315"/>
      <c r="L2" s="315"/>
      <c r="M2" s="315"/>
      <c r="N2" s="315"/>
      <c r="O2" s="315"/>
      <c r="P2" s="315"/>
      <c r="Q2" s="315"/>
      <c r="R2" s="315"/>
      <c r="S2" s="316"/>
      <c r="T2" s="317"/>
    </row>
    <row r="3" ht="15.75" customHeight="1">
      <c r="A3" s="313"/>
      <c r="E3" s="318"/>
      <c r="I3" s="318"/>
      <c r="J3" s="318"/>
      <c r="K3" s="319"/>
      <c r="L3" s="313"/>
      <c r="M3" s="320"/>
      <c r="N3" s="321"/>
      <c r="O3" s="321"/>
      <c r="P3" s="322"/>
      <c r="Q3" s="318"/>
      <c r="R3" s="318"/>
      <c r="S3" s="318"/>
      <c r="T3" s="313"/>
    </row>
    <row r="4" ht="37.5" customHeight="1">
      <c r="A4" s="7"/>
      <c r="I4" s="3"/>
      <c r="J4" s="3"/>
      <c r="K4" s="59"/>
      <c r="L4" s="323"/>
      <c r="M4" s="324" t="s">
        <v>105</v>
      </c>
      <c r="N4" s="325" t="str">
        <f>concatenate("Average weight/",CALCULATIONS!H7)</f>
        <v>Average weight/</v>
      </c>
      <c r="O4" s="325" t="s">
        <v>143</v>
      </c>
      <c r="P4" s="2"/>
      <c r="Q4" s="324" t="s">
        <v>117</v>
      </c>
      <c r="R4" s="325" t="s">
        <v>144</v>
      </c>
      <c r="S4" s="325" t="s">
        <v>145</v>
      </c>
      <c r="T4" s="326"/>
    </row>
    <row r="5" ht="15.75" customHeight="1">
      <c r="J5" s="3"/>
      <c r="K5" s="59"/>
      <c r="L5" s="327"/>
      <c r="M5" s="328" t="str">
        <f>IFERROR(__xludf.DUMMYFUNCTION("iferror(filter(CALCULATIONS!$B$36:$B140,CALCULATIONS!$L$36:$L140&lt;&gt;"""",ISEVEN(row(CALCULATIONS!$L$36:$L140))),"""")"),"")</f>
        <v/>
      </c>
      <c r="N5" s="329" t="str">
        <f>if(M5="","",round(vlookup(M5,CALCULATIONS!$B$36:$L$141,11,0),2))</f>
        <v/>
      </c>
      <c r="O5" s="330" t="str">
        <f t="array" ref="O5">if(M5="","",index(CALCULATIONS!$B$36:$L$141,match($M5,CALCULATIONS!$B$36:$B$141,0)+1,11))</f>
        <v/>
      </c>
      <c r="P5" s="2"/>
      <c r="Q5" s="331" t="str">
        <f>IFERROR(__xludf.DUMMYFUNCTION("iferror(unique(filter(CALCULATIONS!Y36:Y141,CALCULATIONS!Y36:Y141&lt;&gt;"""")),"""")"),"")</f>
        <v/>
      </c>
      <c r="R5" s="332" t="str">
        <f>if(Q5="","",sumif(CALCULATIONS!$Y$36:$Y141,$Q5,CALCULATIONS!$S$36:$S141))</f>
        <v/>
      </c>
      <c r="S5" s="332" t="str">
        <f>if(Q5="","",(CALCULATIONS!$AW$15*4)*1)</f>
        <v/>
      </c>
      <c r="T5" s="333"/>
    </row>
    <row r="6" ht="15.75" customHeight="1">
      <c r="I6" s="3"/>
      <c r="J6" s="3"/>
      <c r="K6" s="59"/>
      <c r="L6" s="334"/>
      <c r="M6" s="335"/>
      <c r="N6" s="336" t="str">
        <f>if(M6="","",round(vlookup(M6,CALCULATIONS!$B$36:$L$141,11,0),2))</f>
        <v/>
      </c>
      <c r="O6" s="337" t="str">
        <f t="array" ref="O6">if(M6="","",index(CALCULATIONS!$B$36:$L$141,match($M6,CALCULATIONS!$B$36:$B$141,0)+1,11))</f>
        <v/>
      </c>
      <c r="P6" s="2"/>
      <c r="Q6" s="338"/>
      <c r="R6" s="339" t="str">
        <f>if(Q6="","",sumif(CALCULATIONS!$Y$36:$Y142,$Q6,CALCULATIONS!$S$36:$S142))</f>
        <v/>
      </c>
      <c r="S6" s="339" t="str">
        <f>if(Q6="","",(CALCULATIONS!$AW$15*4)*1)</f>
        <v/>
      </c>
      <c r="T6" s="333"/>
    </row>
    <row r="7" ht="15.75" customHeight="1">
      <c r="I7" s="3"/>
      <c r="J7" s="3"/>
      <c r="K7" s="59"/>
      <c r="L7" s="334"/>
      <c r="M7" s="340"/>
      <c r="N7" s="329" t="str">
        <f>if(M7="","",round(vlookup(M7,CALCULATIONS!$B$36:$L$141,11,0),2))</f>
        <v/>
      </c>
      <c r="O7" s="330" t="str">
        <f t="array" ref="O7">if(M7="","",index(CALCULATIONS!$B$36:$L$141,match($M7,CALCULATIONS!$B$36:$B$141,0)+1,11))</f>
        <v/>
      </c>
      <c r="P7" s="2"/>
      <c r="Q7" s="341"/>
      <c r="R7" s="332" t="str">
        <f>if(Q7="","",sumif(CALCULATIONS!$Y$36:$Y143,$Q7,CALCULATIONS!$S$36:$S143))</f>
        <v/>
      </c>
      <c r="S7" s="332" t="str">
        <f>if(Q7="","",(CALCULATIONS!$AW$15*4)*1)</f>
        <v/>
      </c>
      <c r="T7" s="333"/>
    </row>
    <row r="8" ht="15.75" customHeight="1">
      <c r="I8" s="3"/>
      <c r="J8" s="3"/>
      <c r="K8" s="59"/>
      <c r="L8" s="334"/>
      <c r="M8" s="335"/>
      <c r="N8" s="336" t="str">
        <f>if(M8="","",round(vlookup(M8,CALCULATIONS!$B$36:$L$141,11,0),2))</f>
        <v/>
      </c>
      <c r="O8" s="337" t="str">
        <f t="array" ref="O8">if(M8="","",index(CALCULATIONS!$B$36:$L$141,match($M8,CALCULATIONS!$B$36:$B$141,0)+1,11))</f>
        <v/>
      </c>
      <c r="P8" s="2"/>
      <c r="Q8" s="338"/>
      <c r="R8" s="339" t="str">
        <f>if(Q8="","",sumif(CALCULATIONS!$Y$36:$Y144,$Q8,CALCULATIONS!$S$36:$S144))</f>
        <v/>
      </c>
      <c r="S8" s="339" t="str">
        <f>if(Q8="","",(CALCULATIONS!$AW$15*4)*1)</f>
        <v/>
      </c>
      <c r="T8" s="333"/>
    </row>
    <row r="9" ht="15.75" customHeight="1">
      <c r="I9" s="3"/>
      <c r="J9" s="3"/>
      <c r="K9" s="59"/>
      <c r="L9" s="334"/>
      <c r="M9" s="340"/>
      <c r="N9" s="329" t="str">
        <f>if(M9="","",round(vlookup(M9,CALCULATIONS!$B$36:$L$141,11,0),2))</f>
        <v/>
      </c>
      <c r="O9" s="330" t="str">
        <f t="array" ref="O9">if(M9="","",index(CALCULATIONS!$B$36:$L$141,match($M9,CALCULATIONS!$B$36:$B$141,0)+1,11))</f>
        <v/>
      </c>
      <c r="P9" s="2"/>
      <c r="Q9" s="341"/>
      <c r="R9" s="332" t="str">
        <f>if(Q9="","",sumif(CALCULATIONS!$Y$36:$Y145,$Q9,CALCULATIONS!$S$36:$S145))</f>
        <v/>
      </c>
      <c r="S9" s="332" t="str">
        <f>if(Q9="","",(CALCULATIONS!$AW$15*4)*1)</f>
        <v/>
      </c>
      <c r="T9" s="333"/>
    </row>
    <row r="10" ht="15.75" customHeight="1">
      <c r="I10" s="3"/>
      <c r="J10" s="3"/>
      <c r="K10" s="59"/>
      <c r="L10" s="334"/>
      <c r="M10" s="335"/>
      <c r="N10" s="336" t="str">
        <f>if(M10="","",round(vlookup(M10,CALCULATIONS!$B$36:$L$141,11,0),2))</f>
        <v/>
      </c>
      <c r="O10" s="337" t="str">
        <f t="array" ref="O10">if(M10="","",index(CALCULATIONS!$B$36:$L$141,match($M10,CALCULATIONS!$B$36:$B$141,0)+1,11))</f>
        <v/>
      </c>
      <c r="P10" s="2"/>
      <c r="Q10" s="338"/>
      <c r="R10" s="339" t="str">
        <f>if(Q10="","",sumif(CALCULATIONS!$Y$36:$Y146,$Q10,CALCULATIONS!$S$36:$S146))</f>
        <v/>
      </c>
      <c r="S10" s="339" t="str">
        <f>if(Q10="","",(CALCULATIONS!$AW$15*4)*1)</f>
        <v/>
      </c>
      <c r="T10" s="333"/>
    </row>
    <row r="11" ht="15.75" customHeight="1">
      <c r="I11" s="3"/>
      <c r="J11" s="3"/>
      <c r="K11" s="59"/>
      <c r="L11" s="334"/>
      <c r="M11" s="340"/>
      <c r="N11" s="329" t="str">
        <f>if(M11="","",round(vlookup(M11,CALCULATIONS!$B$36:$L$141,11,0),2))</f>
        <v/>
      </c>
      <c r="O11" s="330" t="str">
        <f t="array" ref="O11">if(M11="","",index(CALCULATIONS!$B$36:$L$141,match($M11,CALCULATIONS!$B$36:$B$141,0)+1,11))</f>
        <v/>
      </c>
      <c r="P11" s="2"/>
      <c r="Q11" s="341"/>
      <c r="R11" s="332" t="str">
        <f>if(Q11="","",sumif(CALCULATIONS!$Y$36:$Y147,$Q11,CALCULATIONS!$S$36:$S147))</f>
        <v/>
      </c>
      <c r="S11" s="332" t="str">
        <f>if(Q11="","",(CALCULATIONS!$AW$15*4)*1)</f>
        <v/>
      </c>
      <c r="T11" s="333"/>
    </row>
    <row r="12" ht="15.75" customHeight="1">
      <c r="I12" s="3"/>
      <c r="J12" s="3"/>
      <c r="K12" s="59"/>
      <c r="L12" s="334"/>
      <c r="M12" s="335"/>
      <c r="N12" s="336" t="str">
        <f>if(M12="","",round(vlookup(M12,CALCULATIONS!$B$36:$L$141,11,0),2))</f>
        <v/>
      </c>
      <c r="O12" s="337" t="str">
        <f t="array" ref="O12">if(M12="","",index(CALCULATIONS!$B$36:$L$141,match($M12,CALCULATIONS!$B$36:$B$141,0)+1,11))</f>
        <v/>
      </c>
      <c r="P12" s="2"/>
      <c r="Q12" s="338"/>
      <c r="R12" s="339" t="str">
        <f>if(Q12="","",sumif(CALCULATIONS!$Y$36:$Y148,$Q12,CALCULATIONS!$S$36:$S148))</f>
        <v/>
      </c>
      <c r="S12" s="339" t="str">
        <f>if(Q12="","",(CALCULATIONS!$AW$15*4)*1)</f>
        <v/>
      </c>
      <c r="T12" s="333"/>
    </row>
    <row r="13" ht="15.75" customHeight="1">
      <c r="I13" s="3"/>
      <c r="J13" s="3"/>
      <c r="K13" s="59"/>
      <c r="L13" s="334"/>
      <c r="M13" s="340"/>
      <c r="N13" s="329" t="str">
        <f>if(M13="","",round(vlookup(M13,CALCULATIONS!$B$36:$L$141,11,0),2))</f>
        <v/>
      </c>
      <c r="O13" s="330" t="str">
        <f t="array" ref="O13">if(M13="","",index(CALCULATIONS!$B$36:$L$141,match($M13,CALCULATIONS!$B$36:$B$141,0)+1,11))</f>
        <v/>
      </c>
      <c r="P13" s="2"/>
      <c r="Q13" s="341"/>
      <c r="R13" s="332" t="str">
        <f>if(Q13="","",sumif(CALCULATIONS!$Y$36:$Y149,$Q13,CALCULATIONS!$S$36:$S149))</f>
        <v/>
      </c>
      <c r="S13" s="332" t="str">
        <f>if(Q13="","",(CALCULATIONS!$AW$15*4)*1)</f>
        <v/>
      </c>
      <c r="T13" s="333"/>
    </row>
    <row r="14" ht="15.75" customHeight="1">
      <c r="I14" s="3"/>
      <c r="J14" s="3"/>
      <c r="K14" s="59"/>
      <c r="L14" s="334"/>
      <c r="M14" s="335"/>
      <c r="N14" s="336" t="str">
        <f>if(M14="","",round(vlookup(M14,CALCULATIONS!$B$36:$L$141,11,0),2))</f>
        <v/>
      </c>
      <c r="O14" s="337" t="str">
        <f t="array" ref="O14">if(M14="","",index(CALCULATIONS!$B$36:$L$141,match($M14,CALCULATIONS!$B$36:$B$141,0)+1,11))</f>
        <v/>
      </c>
      <c r="P14" s="2"/>
      <c r="Q14" s="338"/>
      <c r="R14" s="339" t="str">
        <f>if(Q14="","",sumif(CALCULATIONS!$Y$36:$Y150,$Q14,CALCULATIONS!$S$36:$S150))</f>
        <v/>
      </c>
      <c r="S14" s="339" t="str">
        <f>if(Q14="","",(CALCULATIONS!$AW$15*4)*1)</f>
        <v/>
      </c>
      <c r="T14" s="333"/>
    </row>
    <row r="15" ht="15.75" customHeight="1">
      <c r="I15" s="3"/>
      <c r="J15" s="3"/>
      <c r="K15" s="59"/>
      <c r="L15" s="334"/>
      <c r="M15" s="340"/>
      <c r="N15" s="329" t="str">
        <f>if(M15="","",round(vlookup(M15,CALCULATIONS!$B$36:$L$141,11,0),2))</f>
        <v/>
      </c>
      <c r="O15" s="330" t="str">
        <f t="array" ref="O15">if(M15="","",index(CALCULATIONS!$B$36:$L$141,match($M15,CALCULATIONS!$B$36:$B$141,0)+1,11))</f>
        <v/>
      </c>
      <c r="P15" s="2"/>
      <c r="Q15" s="341"/>
      <c r="R15" s="332" t="str">
        <f>if(Q15="","",sumif(CALCULATIONS!$Y$36:$Y151,$Q15,CALCULATIONS!$S$36:$S151))</f>
        <v/>
      </c>
      <c r="S15" s="332" t="str">
        <f>if(Q15="","",(CALCULATIONS!$AW$15*4)*1)</f>
        <v/>
      </c>
      <c r="T15" s="333"/>
    </row>
    <row r="16" ht="15.75" customHeight="1">
      <c r="I16" s="3"/>
      <c r="J16" s="3"/>
      <c r="K16" s="59"/>
      <c r="L16" s="334"/>
      <c r="M16" s="335"/>
      <c r="N16" s="336" t="str">
        <f>if(M16="","",round(vlookup(M16,CALCULATIONS!$B$36:$L$141,11,0),2))</f>
        <v/>
      </c>
      <c r="O16" s="337" t="str">
        <f t="array" ref="O16">if(M16="","",index(CALCULATIONS!$B$36:$L$141,match($M16,CALCULATIONS!$B$36:$B$141,0)+1,11))</f>
        <v/>
      </c>
      <c r="P16" s="2"/>
      <c r="Q16" s="338"/>
      <c r="R16" s="339" t="str">
        <f>if(Q16="","",sumif(CALCULATIONS!$Y$36:$Y152,$Q16,CALCULATIONS!$S$36:$S152))</f>
        <v/>
      </c>
      <c r="S16" s="339" t="str">
        <f>if(Q16="","",(CALCULATIONS!$AW$15*4)*1)</f>
        <v/>
      </c>
      <c r="T16" s="333"/>
    </row>
    <row r="17" ht="15.75" customHeight="1">
      <c r="I17" s="2"/>
      <c r="J17" s="3"/>
      <c r="K17" s="59"/>
      <c r="L17" s="334"/>
      <c r="M17" s="340"/>
      <c r="N17" s="329" t="str">
        <f>if(M17="","",round(vlookup(M17,CALCULATIONS!$B$36:$L$141,11,0),2))</f>
        <v/>
      </c>
      <c r="O17" s="330" t="str">
        <f t="array" ref="O17">if(M17="","",index(CALCULATIONS!$B$36:$L$141,match($M17,CALCULATIONS!$B$36:$B$141,0)+1,11))</f>
        <v/>
      </c>
      <c r="P17" s="2"/>
      <c r="Q17" s="341"/>
      <c r="R17" s="332" t="str">
        <f>if(Q17="","",sumif(CALCULATIONS!$Y$36:$Y153,$Q17,CALCULATIONS!$S$36:$S153))</f>
        <v/>
      </c>
      <c r="S17" s="332" t="str">
        <f>if(Q17="","",(CALCULATIONS!$AW$15*4)*1)</f>
        <v/>
      </c>
      <c r="T17" s="7"/>
    </row>
    <row r="18" ht="15.75" customHeight="1">
      <c r="I18" s="2"/>
      <c r="J18" s="3"/>
      <c r="K18" s="59"/>
      <c r="L18" s="334"/>
      <c r="M18" s="335"/>
      <c r="N18" s="336" t="str">
        <f>if(M18="","",round(vlookup(M18,CALCULATIONS!$B$36:$L$141,11,0),2))</f>
        <v/>
      </c>
      <c r="O18" s="337" t="str">
        <f t="array" ref="O18">if(M18="","",index(CALCULATIONS!$B$36:$L$141,match($M18,CALCULATIONS!$B$36:$B$141,0)+1,11))</f>
        <v/>
      </c>
      <c r="P18" s="2"/>
      <c r="Q18" s="338"/>
      <c r="R18" s="339" t="str">
        <f>if(Q18="","",sumif(CALCULATIONS!$Y$36:$Y154,$Q18,CALCULATIONS!$S$36:$S154))</f>
        <v/>
      </c>
      <c r="S18" s="339" t="str">
        <f>if(Q18="","",(CALCULATIONS!$AW$15*4)*1)</f>
        <v/>
      </c>
      <c r="T18" s="7"/>
    </row>
    <row r="19" ht="15.75" customHeight="1">
      <c r="I19" s="2"/>
      <c r="J19" s="3"/>
      <c r="K19" s="59"/>
      <c r="L19" s="334"/>
      <c r="M19" s="340"/>
      <c r="N19" s="329" t="str">
        <f>if(M19="","",round(vlookup(M19,CALCULATIONS!$B$36:$L$141,11,0),2))</f>
        <v/>
      </c>
      <c r="O19" s="330" t="str">
        <f t="array" ref="O19">if(M19="","",index(CALCULATIONS!$B$36:$L$141,match($M19,CALCULATIONS!$B$36:$B$141,0)+1,11))</f>
        <v/>
      </c>
      <c r="P19" s="2"/>
      <c r="Q19" s="342"/>
      <c r="R19" s="343"/>
      <c r="S19" s="343"/>
      <c r="T19" s="7"/>
    </row>
    <row r="20" ht="15.75" customHeight="1">
      <c r="I20" s="2"/>
      <c r="J20" s="3"/>
      <c r="K20" s="59"/>
      <c r="L20" s="334"/>
      <c r="M20" s="335"/>
      <c r="N20" s="336" t="str">
        <f>if(M20="","",round(vlookup(M20,CALCULATIONS!$B$36:$L$141,11,0),2))</f>
        <v/>
      </c>
      <c r="O20" s="337" t="str">
        <f t="array" ref="O20">if(M20="","",index(CALCULATIONS!$B$36:$L$141,match($M20,CALCULATIONS!$B$36:$B$141,0)+1,11))</f>
        <v/>
      </c>
      <c r="P20" s="2"/>
      <c r="Q20" s="343"/>
      <c r="R20" s="343"/>
      <c r="S20" s="343"/>
      <c r="T20" s="7"/>
    </row>
    <row r="21" ht="15.75" customHeight="1">
      <c r="I21" s="2"/>
      <c r="J21" s="3"/>
      <c r="K21" s="59"/>
      <c r="L21" s="334"/>
      <c r="M21" s="340"/>
      <c r="N21" s="329" t="str">
        <f>if(M21="","",round(vlookup(M21,CALCULATIONS!$B$36:$L$141,11,0),2))</f>
        <v/>
      </c>
      <c r="O21" s="330" t="str">
        <f t="array" ref="O21">if(M21="","",index(CALCULATIONS!$B$36:$L$141,match($M21,CALCULATIONS!$B$36:$B$141,0)+1,11))</f>
        <v/>
      </c>
      <c r="P21" s="2"/>
      <c r="Q21" s="343"/>
      <c r="R21" s="343"/>
      <c r="S21" s="343"/>
      <c r="T21" s="7"/>
    </row>
    <row r="22" ht="15.75" customHeight="1">
      <c r="I22" s="2"/>
      <c r="J22" s="3"/>
      <c r="K22" s="59"/>
      <c r="L22" s="334"/>
      <c r="M22" s="335"/>
      <c r="N22" s="336" t="str">
        <f>if(M22="","",round(vlookup(M22,CALCULATIONS!$B$36:$L$141,11,0),2))</f>
        <v/>
      </c>
      <c r="O22" s="337" t="str">
        <f t="array" ref="O22">if(M22="","",index(CALCULATIONS!$B$36:$L$141,match($M22,CALCULATIONS!$B$36:$B$141,0)+1,11))</f>
        <v/>
      </c>
      <c r="P22" s="2"/>
      <c r="Q22" s="343"/>
      <c r="R22" s="343"/>
      <c r="S22" s="343"/>
      <c r="T22" s="7"/>
    </row>
    <row r="23" ht="15.75" customHeight="1">
      <c r="I23" s="2"/>
      <c r="J23" s="3"/>
      <c r="K23" s="59"/>
      <c r="L23" s="334"/>
      <c r="M23" s="340"/>
      <c r="N23" s="329" t="str">
        <f>if(M23="","",round(vlookup(M23,CALCULATIONS!$B$36:$L$141,11,0),2))</f>
        <v/>
      </c>
      <c r="O23" s="330" t="str">
        <f t="array" ref="O23">if(M23="","",index(CALCULATIONS!$B$36:$L$141,match($M23,CALCULATIONS!$B$36:$B$141,0)+1,11))</f>
        <v/>
      </c>
      <c r="P23" s="2"/>
      <c r="Q23" s="343"/>
      <c r="R23" s="343"/>
      <c r="S23" s="343"/>
      <c r="T23" s="7"/>
    </row>
    <row r="24" ht="15.75" customHeight="1">
      <c r="I24" s="2"/>
      <c r="J24" s="3"/>
      <c r="K24" s="59"/>
      <c r="L24" s="334"/>
      <c r="M24" s="335"/>
      <c r="N24" s="336" t="str">
        <f>if(M24="","",round(vlookup(M24,CALCULATIONS!$B$36:$L$141,11,0),2))</f>
        <v/>
      </c>
      <c r="O24" s="337" t="str">
        <f t="array" ref="O24">if(M24="","",index(CALCULATIONS!$B$36:$L$141,match($M24,CALCULATIONS!$B$36:$B$141,0)+1,11))</f>
        <v/>
      </c>
      <c r="P24" s="2"/>
      <c r="Q24" s="343"/>
      <c r="R24" s="343"/>
      <c r="S24" s="343"/>
      <c r="T24" s="7"/>
    </row>
    <row r="25" ht="15.75" customHeight="1">
      <c r="I25" s="2"/>
      <c r="J25" s="3"/>
      <c r="K25" s="59"/>
      <c r="L25" s="334"/>
      <c r="M25" s="340"/>
      <c r="N25" s="329" t="str">
        <f>if(M25="","",round(vlookup(M25,CALCULATIONS!$B$36:$L$141,11,0),2))</f>
        <v/>
      </c>
      <c r="O25" s="330" t="str">
        <f t="array" ref="O25">if(M25="","",index(CALCULATIONS!$B$36:$L$141,match($M25,CALCULATIONS!$B$36:$B$141,0)+1,11))</f>
        <v/>
      </c>
      <c r="P25" s="2"/>
      <c r="Q25" s="343"/>
      <c r="R25" s="343"/>
      <c r="S25" s="343"/>
      <c r="T25" s="7"/>
    </row>
    <row r="26" ht="15.75" customHeight="1">
      <c r="I26" s="2"/>
      <c r="J26" s="3"/>
      <c r="K26" s="59"/>
      <c r="L26" s="334"/>
      <c r="M26" s="335"/>
      <c r="N26" s="336" t="str">
        <f>if(M26="","",round(vlookup(M26,CALCULATIONS!$B$36:$L$141,11,0),2))</f>
        <v/>
      </c>
      <c r="O26" s="337" t="str">
        <f t="array" ref="O26">if(M26="","",index(CALCULATIONS!$B$36:$L$141,match($M26,CALCULATIONS!$B$36:$B$141,0)+1,11))</f>
        <v/>
      </c>
      <c r="P26" s="2"/>
      <c r="Q26" s="343"/>
      <c r="R26" s="343"/>
      <c r="S26" s="343"/>
      <c r="T26" s="7"/>
    </row>
    <row r="27" ht="15.75" customHeight="1">
      <c r="I27" s="2"/>
      <c r="J27" s="3"/>
      <c r="K27" s="59"/>
      <c r="L27" s="334"/>
      <c r="M27" s="340"/>
      <c r="N27" s="329" t="str">
        <f>if(M27="","",round(vlookup(M27,CALCULATIONS!$B$36:$L$141,11,0),2))</f>
        <v/>
      </c>
      <c r="O27" s="330" t="str">
        <f t="array" ref="O27">if(M27="","",index(CALCULATIONS!$B$36:$L$141,match($M27,CALCULATIONS!$B$36:$B$141,0)+1,11))</f>
        <v/>
      </c>
      <c r="P27" s="2"/>
      <c r="Q27" s="343"/>
      <c r="R27" s="343"/>
      <c r="S27" s="343"/>
      <c r="T27" s="7"/>
    </row>
    <row r="28" ht="15.75" customHeight="1">
      <c r="I28" s="2"/>
      <c r="J28" s="3"/>
      <c r="K28" s="59"/>
      <c r="L28" s="334"/>
      <c r="M28" s="335"/>
      <c r="N28" s="336" t="str">
        <f>if(M28="","",round(vlookup(M28,CALCULATIONS!$B$36:$L$141,11,0),2))</f>
        <v/>
      </c>
      <c r="O28" s="337" t="str">
        <f t="array" ref="O28">if(M28="","",index(CALCULATIONS!$B$36:$L$141,match($M28,CALCULATIONS!$B$36:$B$141,0)+1,11))</f>
        <v/>
      </c>
      <c r="P28" s="2"/>
      <c r="Q28" s="343"/>
      <c r="R28" s="343"/>
      <c r="S28" s="343"/>
      <c r="T28" s="7"/>
    </row>
    <row r="29" ht="15.75" customHeight="1">
      <c r="I29" s="3"/>
      <c r="J29" s="3"/>
      <c r="K29" s="59"/>
      <c r="L29" s="334"/>
      <c r="M29" s="340"/>
      <c r="N29" s="329" t="str">
        <f>if(M29="","",round(vlookup(M29,CALCULATIONS!$B$36:$L$141,11,0),2))</f>
        <v/>
      </c>
      <c r="O29" s="330" t="str">
        <f t="array" ref="O29">if(M29="","",index(CALCULATIONS!$B$36:$L$141,match($M29,CALCULATIONS!$B$36:$B$141,0)+1,11))</f>
        <v/>
      </c>
      <c r="P29" s="2"/>
      <c r="Q29" s="343"/>
      <c r="R29" s="343"/>
      <c r="S29" s="343"/>
      <c r="T29" s="7"/>
    </row>
    <row r="30" ht="15.75" customHeight="1">
      <c r="I30" s="3"/>
      <c r="J30" s="3"/>
      <c r="K30" s="59"/>
      <c r="L30" s="334"/>
      <c r="M30" s="335"/>
      <c r="N30" s="336" t="str">
        <f>if(M30="","",round(vlookup(M30,CALCULATIONS!$B$36:$L$141,11,0),2))</f>
        <v/>
      </c>
      <c r="O30" s="337" t="str">
        <f t="array" ref="O30">if(M30="","",index(CALCULATIONS!$B$36:$L$141,match($M30,CALCULATIONS!$B$36:$B$141,0)+1,11))</f>
        <v/>
      </c>
      <c r="P30" s="2"/>
      <c r="Q30" s="3"/>
      <c r="R30" s="3"/>
      <c r="S30" s="3"/>
      <c r="T30" s="7"/>
    </row>
    <row r="31" ht="15.75" customHeight="1">
      <c r="I31" s="3"/>
      <c r="J31" s="3"/>
      <c r="K31" s="59"/>
      <c r="L31" s="334"/>
      <c r="M31" s="340"/>
      <c r="N31" s="329" t="str">
        <f>if(M31="","",round(vlookup(M31,CALCULATIONS!$B$36:$L$141,11,0),2))</f>
        <v/>
      </c>
      <c r="O31" s="330" t="str">
        <f t="array" ref="O31">if(M31="","",index(CALCULATIONS!$B$36:$L$141,match($M31,CALCULATIONS!$B$36:$B$141,0)+1,11))</f>
        <v/>
      </c>
      <c r="P31" s="2"/>
      <c r="Q31" s="3"/>
      <c r="R31" s="3"/>
      <c r="S31" s="3"/>
      <c r="T31" s="7"/>
    </row>
    <row r="32" ht="15.75" customHeight="1">
      <c r="I32" s="3"/>
      <c r="J32" s="3"/>
      <c r="K32" s="59"/>
      <c r="L32" s="334"/>
      <c r="M32" s="335"/>
      <c r="N32" s="336" t="str">
        <f>if(M32="","",round(vlookup(M32,CALCULATIONS!$B$36:$L$141,11,0),2))</f>
        <v/>
      </c>
      <c r="O32" s="337" t="str">
        <f t="array" ref="O32">if(M32="","",index(CALCULATIONS!$B$36:$L$141,match($M32,CALCULATIONS!$B$36:$B$141,0)+1,11))</f>
        <v/>
      </c>
      <c r="P32" s="344"/>
      <c r="Q32" s="3"/>
      <c r="R32" s="3"/>
      <c r="S32" s="3"/>
      <c r="T32" s="7"/>
    </row>
    <row r="33" ht="15.75" customHeight="1">
      <c r="I33" s="3"/>
      <c r="J33" s="3"/>
      <c r="K33" s="59"/>
      <c r="L33" s="334"/>
      <c r="M33" s="340"/>
      <c r="N33" s="329" t="str">
        <f>if(M33="","",round(vlookup(M33,CALCULATIONS!$B$36:$L$141,11,0),2))</f>
        <v/>
      </c>
      <c r="O33" s="330" t="str">
        <f t="array" ref="O33">if(M33="","",index(CALCULATIONS!$B$36:$L$141,match($M33,CALCULATIONS!$B$36:$B$141,0)+1,11))</f>
        <v/>
      </c>
      <c r="P33" s="344"/>
      <c r="Q33" s="3"/>
      <c r="R33" s="3"/>
      <c r="S33" s="3"/>
      <c r="T33" s="7"/>
    </row>
    <row r="34" ht="15.75" customHeight="1">
      <c r="I34" s="7"/>
      <c r="J34" s="7"/>
      <c r="K34" s="7"/>
      <c r="L34" s="334"/>
      <c r="M34" s="335"/>
      <c r="N34" s="336" t="str">
        <f>if(M34="","",round(vlookup(M34,CALCULATIONS!$B$36:$L$141,11,0),2))</f>
        <v/>
      </c>
      <c r="O34" s="337" t="str">
        <f t="array" ref="O34">if(M34="","",index(CALCULATIONS!$B$36:$L$141,match($M34,CALCULATIONS!$B$36:$B$141,0)+1,11))</f>
        <v/>
      </c>
      <c r="P34" s="345"/>
      <c r="Q34" s="7"/>
      <c r="R34" s="7"/>
      <c r="S34" s="7"/>
      <c r="T34" s="7"/>
    </row>
    <row r="35" ht="15.75" customHeight="1">
      <c r="I35" s="7"/>
      <c r="J35" s="7"/>
      <c r="K35" s="7"/>
      <c r="L35" s="334"/>
      <c r="M35" s="340"/>
      <c r="N35" s="329" t="str">
        <f>if(M35="","",round(vlookup(M35,CALCULATIONS!$B$36:$L$141,11,0),2))</f>
        <v/>
      </c>
      <c r="O35" s="330" t="str">
        <f t="array" ref="O35">if(M35="","",index(CALCULATIONS!$B$36:$L$141,match($M35,CALCULATIONS!$B$36:$B$141,0)+1,11))</f>
        <v/>
      </c>
      <c r="P35" s="345"/>
      <c r="Q35" s="7"/>
      <c r="R35" s="7"/>
      <c r="S35" s="7"/>
      <c r="T35" s="7"/>
    </row>
    <row r="36" ht="15.75" customHeight="1">
      <c r="I36" s="7"/>
      <c r="J36" s="7"/>
      <c r="K36" s="7"/>
      <c r="L36" s="334"/>
      <c r="M36" s="335"/>
      <c r="N36" s="336" t="str">
        <f>if(M36="","",round(vlookup(M36,CALCULATIONS!$B$36:$L$141,11,0),2))</f>
        <v/>
      </c>
      <c r="O36" s="337" t="str">
        <f t="array" ref="O36">if(M36="","",index(CALCULATIONS!$B$36:$L$141,match($M36,CALCULATIONS!$B$36:$B$141,0)+1,11))</f>
        <v/>
      </c>
      <c r="P36" s="345"/>
      <c r="Q36" s="7"/>
      <c r="R36" s="7"/>
      <c r="S36" s="7"/>
      <c r="T36" s="7"/>
    </row>
    <row r="37" ht="15.75" customHeight="1">
      <c r="I37" s="7"/>
      <c r="J37" s="7"/>
      <c r="K37" s="7"/>
      <c r="L37" s="334"/>
      <c r="M37" s="340"/>
      <c r="N37" s="329" t="str">
        <f>if(M37="","",round(vlookup(M37,CALCULATIONS!$B$36:$L$141,11,0),2))</f>
        <v/>
      </c>
      <c r="O37" s="330" t="str">
        <f t="array" ref="O37">if(M37="","",index(CALCULATIONS!$B$36:$L$141,match($M37,CALCULATIONS!$B$36:$B$141,0)+1,11))</f>
        <v/>
      </c>
      <c r="P37" s="345"/>
      <c r="Q37" s="7"/>
      <c r="R37" s="7"/>
      <c r="S37" s="7"/>
      <c r="T37" s="7"/>
    </row>
    <row r="38" ht="15.75" customHeight="1">
      <c r="I38" s="7"/>
      <c r="J38" s="7"/>
      <c r="K38" s="7"/>
      <c r="L38" s="334"/>
      <c r="M38" s="335"/>
      <c r="N38" s="336" t="str">
        <f>if(M38="","",round(vlookup(M38,CALCULATIONS!$B$36:$L$141,11,0),2))</f>
        <v/>
      </c>
      <c r="O38" s="337" t="str">
        <f t="array" ref="O38">if(M38="","",index(CALCULATIONS!$B$36:$L$141,match($M38,CALCULATIONS!$B$36:$B$141,0)+1,11))</f>
        <v/>
      </c>
      <c r="P38" s="345"/>
      <c r="Q38" s="7"/>
      <c r="R38" s="7"/>
      <c r="S38" s="7"/>
      <c r="T38" s="7"/>
    </row>
    <row r="39" ht="15.75" customHeight="1">
      <c r="I39" s="7"/>
      <c r="J39" s="7"/>
      <c r="K39" s="7"/>
      <c r="L39" s="334"/>
      <c r="M39" s="340"/>
      <c r="N39" s="329" t="str">
        <f>if(M39="","",round(vlookup(M39,CALCULATIONS!$B$36:$L$141,11,0),2))</f>
        <v/>
      </c>
      <c r="O39" s="330" t="str">
        <f t="array" ref="O39">if(M39="","",index(CALCULATIONS!$B$36:$L$141,match($M39,CALCULATIONS!$B$36:$B$141,0)+1,11))</f>
        <v/>
      </c>
      <c r="P39" s="345"/>
      <c r="Q39" s="7"/>
      <c r="R39" s="7"/>
      <c r="S39" s="7"/>
      <c r="T39" s="7"/>
    </row>
    <row r="40" ht="15.75" customHeight="1">
      <c r="I40" s="7"/>
      <c r="J40" s="7"/>
      <c r="K40" s="7"/>
      <c r="L40" s="334"/>
      <c r="M40" s="335"/>
      <c r="N40" s="336" t="str">
        <f>if(M40="","",round(vlookup(M40,CALCULATIONS!$B$36:$L$141,11,0),2))</f>
        <v/>
      </c>
      <c r="O40" s="337" t="str">
        <f t="array" ref="O40">if(M40="","",index(CALCULATIONS!$B$36:$L$141,match($M40,CALCULATIONS!$B$36:$B$141,0)+1,11))</f>
        <v/>
      </c>
      <c r="P40" s="345"/>
      <c r="Q40" s="7"/>
      <c r="R40" s="7"/>
      <c r="S40" s="7"/>
      <c r="T40" s="7"/>
    </row>
    <row r="41" ht="15.75" customHeight="1">
      <c r="I41" s="7"/>
      <c r="J41" s="7"/>
      <c r="K41" s="7"/>
      <c r="L41" s="334"/>
      <c r="M41" s="340"/>
      <c r="N41" s="329" t="str">
        <f>if(M41="","",round(vlookup(M41,CALCULATIONS!$B$36:$L$141,11,0),2))</f>
        <v/>
      </c>
      <c r="O41" s="330" t="str">
        <f t="array" ref="O41">if(M41="","",index(CALCULATIONS!$B$36:$L$141,match($M41,CALCULATIONS!$B$36:$B$141,0)+1,11))</f>
        <v/>
      </c>
      <c r="P41" s="345"/>
      <c r="Q41" s="7"/>
      <c r="R41" s="7"/>
      <c r="S41" s="7"/>
      <c r="T41" s="7"/>
    </row>
    <row r="42" ht="15.75" customHeight="1">
      <c r="I42" s="7"/>
      <c r="J42" s="7"/>
      <c r="K42" s="7"/>
      <c r="L42" s="334"/>
      <c r="M42" s="335"/>
      <c r="N42" s="336" t="str">
        <f>if(M42="","",round(vlookup(M42,CALCULATIONS!$B$36:$L$141,11,0),2))</f>
        <v/>
      </c>
      <c r="O42" s="337" t="str">
        <f t="array" ref="O42">if(M42="","",index(CALCULATIONS!$B$36:$L$141,match($M42,CALCULATIONS!$B$36:$B$141,0)+1,11))</f>
        <v/>
      </c>
      <c r="P42" s="345"/>
      <c r="Q42" s="7"/>
      <c r="R42" s="7"/>
      <c r="S42" s="7"/>
      <c r="T42" s="7"/>
    </row>
    <row r="43" ht="15.75" customHeight="1">
      <c r="I43" s="7"/>
      <c r="J43" s="7"/>
      <c r="K43" s="7"/>
      <c r="L43" s="334"/>
      <c r="M43" s="340"/>
      <c r="N43" s="329" t="str">
        <f>if(M43="","",round(vlookup(M43,CALCULATIONS!$B$36:$L$141,11,0),2))</f>
        <v/>
      </c>
      <c r="O43" s="330" t="str">
        <f t="array" ref="O43">if(M43="","",index(CALCULATIONS!$B$36:$L$141,match($M43,CALCULATIONS!$B$36:$B$141,0)+1,11))</f>
        <v/>
      </c>
      <c r="P43" s="345"/>
      <c r="Q43" s="7"/>
      <c r="R43" s="7"/>
      <c r="S43" s="7"/>
      <c r="T43" s="7"/>
    </row>
    <row r="44" ht="15.75" customHeight="1">
      <c r="I44" s="7"/>
      <c r="J44" s="7"/>
      <c r="K44" s="7"/>
      <c r="L44" s="334"/>
      <c r="M44" s="335"/>
      <c r="N44" s="336" t="str">
        <f>if(M44="","",round(vlookup(M44,CALCULATIONS!$B$36:$L$141,11,0),2))</f>
        <v/>
      </c>
      <c r="O44" s="337" t="str">
        <f t="array" ref="O44">if(M44="","",index(CALCULATIONS!$B$36:$L$141,match($M44,CALCULATIONS!$B$36:$B$141,0)+1,11))</f>
        <v/>
      </c>
      <c r="P44" s="345"/>
      <c r="Q44" s="7"/>
      <c r="R44" s="7"/>
      <c r="S44" s="7"/>
      <c r="T44" s="7"/>
    </row>
    <row r="45" ht="15.75" customHeight="1">
      <c r="I45" s="7"/>
      <c r="J45" s="7"/>
      <c r="K45" s="7"/>
      <c r="L45" s="334"/>
      <c r="M45" s="340"/>
      <c r="N45" s="329" t="str">
        <f>if(M45="","",round(vlookup(M45,CALCULATIONS!$B$36:$L$141,11,0),2))</f>
        <v/>
      </c>
      <c r="O45" s="330" t="str">
        <f t="array" ref="O45">if(M45="","",index(CALCULATIONS!$B$36:$L$141,match($M45,CALCULATIONS!$B$36:$B$141,0)+1,11))</f>
        <v/>
      </c>
      <c r="P45" s="345"/>
      <c r="Q45" s="7"/>
      <c r="R45" s="7"/>
      <c r="S45" s="7"/>
      <c r="T45" s="7"/>
    </row>
    <row r="46" ht="15.75" customHeight="1">
      <c r="I46" s="7"/>
      <c r="J46" s="7"/>
      <c r="K46" s="7"/>
      <c r="L46" s="334"/>
      <c r="M46" s="335"/>
      <c r="N46" s="336" t="str">
        <f>if(M46="","",round(vlookup(M46,CALCULATIONS!$B$36:$L$141,11,0),2))</f>
        <v/>
      </c>
      <c r="O46" s="337" t="str">
        <f t="array" ref="O46">if(M46="","",index(CALCULATIONS!$B$36:$L$141,match($M46,CALCULATIONS!$B$36:$B$141,0)+1,11))</f>
        <v/>
      </c>
      <c r="P46" s="345"/>
      <c r="Q46" s="7"/>
      <c r="R46" s="7"/>
      <c r="S46" s="7"/>
      <c r="T46" s="7"/>
    </row>
    <row r="47" ht="15.75" customHeight="1">
      <c r="I47" s="7"/>
      <c r="J47" s="7"/>
      <c r="K47" s="7"/>
      <c r="L47" s="334"/>
      <c r="M47" s="340"/>
      <c r="N47" s="329" t="str">
        <f>if(M47="","",round(vlookup(M47,CALCULATIONS!$B$36:$L$141,11,0),2))</f>
        <v/>
      </c>
      <c r="O47" s="330" t="str">
        <f t="array" ref="O47">if(M47="","",index(CALCULATIONS!$B$36:$L$141,match($M47,CALCULATIONS!$B$36:$B$141,0)+1,11))</f>
        <v/>
      </c>
      <c r="P47" s="345"/>
      <c r="Q47" s="7"/>
      <c r="R47" s="7"/>
      <c r="S47" s="7"/>
      <c r="T47" s="7"/>
    </row>
    <row r="48" ht="15.75" customHeight="1">
      <c r="I48" s="7"/>
      <c r="J48" s="7"/>
      <c r="K48" s="7"/>
      <c r="L48" s="334"/>
      <c r="M48" s="335"/>
      <c r="N48" s="336" t="str">
        <f>if(M48="","",round(vlookup(M48,CALCULATIONS!$B$36:$L$141,11,0),2))</f>
        <v/>
      </c>
      <c r="O48" s="337" t="str">
        <f t="array" ref="O48">if(M48="","",index(CALCULATIONS!$B$36:$L$141,match($M48,CALCULATIONS!$B$36:$B$141,0)+1,11))</f>
        <v/>
      </c>
      <c r="P48" s="345"/>
      <c r="Q48" s="7"/>
      <c r="R48" s="7"/>
      <c r="S48" s="7"/>
      <c r="T48" s="7"/>
    </row>
    <row r="49" ht="15.75" customHeight="1">
      <c r="I49" s="7"/>
      <c r="J49" s="7"/>
      <c r="K49" s="7"/>
      <c r="L49" s="334"/>
      <c r="M49" s="340"/>
      <c r="N49" s="329" t="str">
        <f>if(M49="","",round(vlookup(M49,CALCULATIONS!$B$36:$L$141,11,0),2))</f>
        <v/>
      </c>
      <c r="O49" s="330" t="str">
        <f t="array" ref="O49">if(M49="","",index(CALCULATIONS!$B$36:$L$141,match($M49,CALCULATIONS!$B$36:$B$141,0)+1,11))</f>
        <v/>
      </c>
      <c r="P49" s="345"/>
      <c r="Q49" s="7"/>
      <c r="R49" s="7"/>
      <c r="S49" s="7"/>
      <c r="T49" s="7"/>
    </row>
    <row r="50" ht="15.75" customHeight="1">
      <c r="I50" s="7"/>
      <c r="J50" s="7"/>
      <c r="K50" s="7"/>
      <c r="L50" s="334"/>
      <c r="M50" s="335"/>
      <c r="N50" s="336" t="str">
        <f>if(M50="","",round(vlookup(M50,CALCULATIONS!$B$36:$L$141,11,0),2))</f>
        <v/>
      </c>
      <c r="O50" s="337" t="str">
        <f t="array" ref="O50">if(M50="","",index(CALCULATIONS!$B$36:$L$141,match($M50,CALCULATIONS!$B$36:$B$141,0)+1,11))</f>
        <v/>
      </c>
      <c r="P50" s="345"/>
      <c r="Q50" s="7"/>
      <c r="R50" s="7"/>
      <c r="S50" s="7"/>
      <c r="T50" s="7"/>
    </row>
    <row r="51" ht="15.75" customHeight="1">
      <c r="I51" s="7"/>
      <c r="J51" s="7"/>
      <c r="K51" s="7"/>
      <c r="L51" s="334"/>
      <c r="M51" s="340"/>
      <c r="N51" s="329" t="str">
        <f>if(M51="","",round(vlookup(M51,CALCULATIONS!$B$36:$L$141,11,0),2))</f>
        <v/>
      </c>
      <c r="O51" s="330" t="str">
        <f t="array" ref="O51">if(M51="","",index(CALCULATIONS!$B$36:$L$141,match($M51,CALCULATIONS!$B$36:$B$141,0)+1,11))</f>
        <v/>
      </c>
      <c r="P51" s="345"/>
      <c r="Q51" s="7"/>
      <c r="R51" s="7"/>
      <c r="S51" s="7"/>
      <c r="T51" s="7"/>
    </row>
    <row r="52" ht="15.75" customHeight="1">
      <c r="I52" s="7"/>
      <c r="J52" s="7"/>
      <c r="K52" s="7"/>
      <c r="L52" s="334"/>
      <c r="M52" s="335"/>
      <c r="N52" s="336" t="str">
        <f>if(M52="","",round(vlookup(M52,CALCULATIONS!$B$36:$L$141,11,0),2))</f>
        <v/>
      </c>
      <c r="O52" s="337" t="str">
        <f t="array" ref="O52">if(M52="","",index(CALCULATIONS!$B$36:$L$141,match($M52,CALCULATIONS!$B$36:$B$141,0)+1,11))</f>
        <v/>
      </c>
      <c r="P52" s="345"/>
      <c r="Q52" s="7"/>
      <c r="R52" s="7"/>
      <c r="S52" s="7"/>
      <c r="T52" s="7"/>
    </row>
    <row r="53" ht="15.75" customHeight="1">
      <c r="I53" s="7"/>
      <c r="J53" s="7"/>
      <c r="K53" s="7"/>
      <c r="L53" s="334"/>
      <c r="M53" s="340"/>
      <c r="N53" s="329" t="str">
        <f>if(M53="","",round(vlookup(M53,CALCULATIONS!$B$36:$L$141,11,0),2))</f>
        <v/>
      </c>
      <c r="O53" s="330" t="str">
        <f t="array" ref="O53">if(M53="","",index(CALCULATIONS!$B$36:$L$141,match($M53,CALCULATIONS!$B$36:$B$141,0)+1,11))</f>
        <v/>
      </c>
      <c r="P53" s="345"/>
      <c r="Q53" s="7"/>
      <c r="R53" s="7"/>
      <c r="S53" s="7"/>
      <c r="T53" s="7"/>
    </row>
    <row r="54" ht="15.75" customHeight="1">
      <c r="I54" s="7"/>
      <c r="J54" s="7"/>
      <c r="K54" s="7"/>
      <c r="L54" s="334"/>
      <c r="M54" s="335"/>
      <c r="N54" s="336" t="str">
        <f>if(M54="","",round(vlookup(M54,CALCULATIONS!$B$36:$L$141,11,0),2))</f>
        <v/>
      </c>
      <c r="O54" s="337" t="str">
        <f t="array" ref="O54">if(M54="","",index(CALCULATIONS!$B$36:$L$141,match($M54,CALCULATIONS!$B$36:$B$141,0)+1,11))</f>
        <v/>
      </c>
      <c r="P54" s="345"/>
      <c r="Q54" s="7"/>
      <c r="R54" s="7"/>
      <c r="S54" s="7"/>
      <c r="T54" s="7"/>
    </row>
    <row r="55" ht="15.75" customHeight="1">
      <c r="I55" s="7"/>
      <c r="J55" s="7"/>
      <c r="K55" s="7"/>
      <c r="L55" s="334"/>
      <c r="M55" s="340"/>
      <c r="N55" s="329" t="str">
        <f>if(M55="","",round(vlookup(M55,CALCULATIONS!$B$36:$L$141,11,0),2))</f>
        <v/>
      </c>
      <c r="O55" s="330" t="str">
        <f t="array" ref="O55">if(M55="","",index(CALCULATIONS!$B$36:$L$141,match($M55,CALCULATIONS!$B$36:$B$141,0)+1,11))</f>
        <v/>
      </c>
      <c r="P55" s="345"/>
      <c r="Q55" s="7"/>
      <c r="R55" s="7"/>
      <c r="S55" s="7"/>
      <c r="T55" s="7"/>
    </row>
    <row r="56" ht="15.75" customHeight="1">
      <c r="I56" s="7"/>
      <c r="J56" s="7"/>
      <c r="K56" s="7"/>
      <c r="L56" s="334"/>
      <c r="M56" s="335"/>
      <c r="N56" s="336" t="str">
        <f>if(M56="","",round(vlookup(M56,CALCULATIONS!$B$36:$L$141,11,0),2))</f>
        <v/>
      </c>
      <c r="O56" s="337" t="str">
        <f t="array" ref="O56">if(M56="","",index(CALCULATIONS!$B$36:$L$141,match($M56,CALCULATIONS!$B$36:$B$141,0)+1,11))</f>
        <v/>
      </c>
      <c r="P56" s="345"/>
      <c r="Q56" s="7"/>
      <c r="R56" s="7"/>
      <c r="S56" s="7"/>
      <c r="T56" s="7"/>
    </row>
    <row r="57" ht="15.75" customHeight="1">
      <c r="A57" s="7"/>
      <c r="E57" s="7"/>
      <c r="I57" s="7"/>
      <c r="J57" s="7"/>
      <c r="K57" s="7"/>
      <c r="L57" s="346"/>
      <c r="M57" s="340"/>
      <c r="N57" s="329" t="str">
        <f>if(M57="","",round(vlookup(M57,CALCULATIONS!$B$36:$L$141,11,0),2))</f>
        <v/>
      </c>
      <c r="O57" s="330" t="str">
        <f t="array" ref="O57">if(M57="","",index(CALCULATIONS!$B$36:$L$141,match($M57,CALCULATIONS!$B$36:$B$141,0)+1,11))</f>
        <v/>
      </c>
      <c r="P57" s="345"/>
      <c r="Q57" s="7"/>
      <c r="R57" s="7"/>
      <c r="S57" s="7"/>
      <c r="T57" s="7"/>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B2:S2"/>
  </mergeCells>
  <printOptions/>
  <pageMargins bottom="0.31" footer="0.0" header="0.0" left="0.46" right="0.47" top="0.31"/>
  <pageSetup scale="90"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3.5"/>
    <col customWidth="1" min="2" max="4" width="12.0"/>
    <col customWidth="1" min="5" max="5" width="2.75"/>
    <col customWidth="1" min="6" max="8" width="12.0"/>
    <col customWidth="1" min="9" max="9" width="11.5"/>
    <col customWidth="1" min="10" max="10" width="12.38"/>
    <col customWidth="1" min="11" max="11" width="4.13"/>
    <col customWidth="1" min="12" max="12" width="1.5"/>
    <col customWidth="1" min="13" max="13" width="15.0"/>
    <col customWidth="1" min="14" max="14" width="14.0"/>
    <col customWidth="1" min="15" max="15" width="12.0"/>
    <col customWidth="1" min="16" max="16" width="1.88"/>
    <col customWidth="1" min="17" max="17" width="12.0"/>
    <col customWidth="1" min="18" max="18" width="30.0"/>
    <col customWidth="1" min="19" max="19" width="2.88"/>
    <col hidden="1" min="20" max="25" width="12.63"/>
  </cols>
  <sheetData>
    <row r="1" ht="84.0" customHeight="1">
      <c r="A1" s="7"/>
      <c r="E1" s="4"/>
      <c r="I1" s="4"/>
      <c r="J1" s="4"/>
      <c r="K1" s="13"/>
      <c r="L1" s="7"/>
      <c r="M1" s="12"/>
      <c r="N1" s="4"/>
      <c r="O1" s="4"/>
      <c r="P1" s="312"/>
      <c r="Q1" s="4"/>
      <c r="R1" s="4"/>
      <c r="S1" s="7"/>
    </row>
    <row r="2" ht="33.75" customHeight="1">
      <c r="A2" s="313"/>
      <c r="B2" s="347" t="s">
        <v>146</v>
      </c>
      <c r="C2" s="315"/>
      <c r="D2" s="315"/>
      <c r="E2" s="315"/>
      <c r="F2" s="315"/>
      <c r="G2" s="315"/>
      <c r="H2" s="315"/>
      <c r="I2" s="315"/>
      <c r="J2" s="315"/>
      <c r="K2" s="315"/>
      <c r="L2" s="315"/>
      <c r="M2" s="315"/>
      <c r="N2" s="315"/>
      <c r="O2" s="315"/>
      <c r="P2" s="315"/>
      <c r="Q2" s="315"/>
      <c r="R2" s="315"/>
      <c r="S2" s="317"/>
    </row>
    <row r="3" ht="15.75" customHeight="1">
      <c r="A3" s="313"/>
      <c r="E3" s="321"/>
      <c r="I3" s="321"/>
      <c r="J3" s="321"/>
      <c r="K3" s="348"/>
    </row>
    <row r="4" ht="56.25" customHeight="1">
      <c r="B4" s="349" t="s">
        <v>147</v>
      </c>
      <c r="C4" s="350"/>
      <c r="D4" s="350"/>
      <c r="E4" s="350"/>
      <c r="F4" s="350"/>
      <c r="G4" s="350"/>
      <c r="H4" s="350"/>
      <c r="I4" s="350"/>
      <c r="J4" s="350"/>
      <c r="K4" s="350"/>
      <c r="L4" s="350"/>
      <c r="M4" s="350"/>
      <c r="N4" s="350"/>
      <c r="O4" s="350"/>
      <c r="P4" s="350"/>
      <c r="Q4" s="350"/>
      <c r="R4" s="351"/>
    </row>
    <row r="5" ht="15.75" customHeight="1">
      <c r="B5" s="352"/>
      <c r="R5" s="263"/>
    </row>
    <row r="6" ht="42.0" customHeight="1">
      <c r="B6" s="352"/>
      <c r="R6" s="263"/>
    </row>
    <row r="7" ht="15.75" customHeight="1">
      <c r="B7" s="352"/>
      <c r="R7" s="263"/>
    </row>
    <row r="8" ht="15.75" customHeight="1">
      <c r="B8" s="352"/>
      <c r="R8" s="263"/>
    </row>
    <row r="9" ht="34.5" customHeight="1">
      <c r="B9" s="352"/>
      <c r="R9" s="263"/>
    </row>
    <row r="10" ht="15.75" customHeight="1">
      <c r="B10" s="352"/>
      <c r="R10" s="263"/>
    </row>
    <row r="11" ht="15.75" customHeight="1">
      <c r="B11" s="352"/>
      <c r="R11" s="263"/>
    </row>
    <row r="12" ht="15.75" customHeight="1">
      <c r="B12" s="352"/>
      <c r="R12" s="263"/>
    </row>
    <row r="13" ht="15.75" customHeight="1">
      <c r="B13" s="352"/>
      <c r="R13" s="263"/>
    </row>
    <row r="14" ht="15.75" customHeight="1">
      <c r="B14" s="352"/>
      <c r="R14" s="263"/>
    </row>
    <row r="15" ht="15.75" customHeight="1">
      <c r="B15" s="352"/>
      <c r="R15" s="263"/>
    </row>
    <row r="16" ht="15.75" customHeight="1">
      <c r="B16" s="352"/>
      <c r="R16" s="263"/>
    </row>
    <row r="17" ht="15.75" customHeight="1">
      <c r="B17" s="352"/>
      <c r="R17" s="263"/>
    </row>
    <row r="18" ht="15.75" customHeight="1">
      <c r="B18" s="352"/>
      <c r="R18" s="263"/>
    </row>
    <row r="19" ht="15.75" customHeight="1">
      <c r="B19" s="352"/>
      <c r="R19" s="263"/>
    </row>
    <row r="20" ht="15.75" customHeight="1">
      <c r="B20" s="352"/>
      <c r="R20" s="263"/>
    </row>
    <row r="21" ht="15.75" customHeight="1">
      <c r="B21" s="352"/>
      <c r="R21" s="263"/>
    </row>
    <row r="22" ht="15.75" customHeight="1">
      <c r="B22" s="352"/>
      <c r="R22" s="263"/>
    </row>
    <row r="23" ht="15.75" customHeight="1">
      <c r="B23" s="352"/>
      <c r="R23" s="263"/>
    </row>
    <row r="24" ht="15.75" customHeight="1">
      <c r="B24" s="352"/>
      <c r="R24" s="263"/>
    </row>
    <row r="25" ht="15.75" customHeight="1">
      <c r="B25" s="352"/>
      <c r="R25" s="263"/>
    </row>
    <row r="26" ht="15.75" customHeight="1">
      <c r="B26" s="352"/>
      <c r="R26" s="263"/>
    </row>
    <row r="27" ht="15.75" customHeight="1">
      <c r="B27" s="352"/>
      <c r="R27" s="263"/>
    </row>
    <row r="28" ht="33.75" customHeight="1">
      <c r="B28" s="352"/>
      <c r="R28" s="263"/>
    </row>
    <row r="29" ht="46.5" customHeight="1">
      <c r="B29" s="353"/>
      <c r="C29" s="354"/>
      <c r="D29" s="354"/>
      <c r="E29" s="354"/>
      <c r="F29" s="354"/>
      <c r="G29" s="354"/>
      <c r="H29" s="354"/>
      <c r="I29" s="354"/>
      <c r="J29" s="354"/>
      <c r="K29" s="354"/>
      <c r="L29" s="354"/>
      <c r="M29" s="354"/>
      <c r="N29" s="354"/>
      <c r="O29" s="354"/>
      <c r="P29" s="354"/>
      <c r="Q29" s="354"/>
      <c r="R29" s="30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c r="A46" s="7"/>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2">
    <mergeCell ref="B2:R2"/>
    <mergeCell ref="B4:R29"/>
  </mergeCells>
  <printOptions/>
  <pageMargins bottom="0.31" footer="0.0" header="0.0" left="0.46" right="0.47" top="0.31"/>
  <pageSetup scale="9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0.75"/>
    <col customWidth="1" min="2" max="201" width="3.88"/>
  </cols>
  <sheetData>
    <row r="1">
      <c r="A1" s="355" t="s">
        <v>148</v>
      </c>
      <c r="B1" s="356"/>
      <c r="D1" s="357"/>
      <c r="F1" s="356"/>
      <c r="H1" s="358"/>
      <c r="J1" s="359"/>
      <c r="L1" s="358"/>
      <c r="N1" s="359"/>
      <c r="P1" s="360"/>
      <c r="R1" s="361"/>
      <c r="T1" s="360"/>
      <c r="V1" s="359"/>
      <c r="X1" s="358"/>
      <c r="Z1" s="359"/>
      <c r="AB1" s="358"/>
      <c r="AD1" s="359"/>
      <c r="AF1" s="360"/>
      <c r="AH1" s="361"/>
      <c r="AJ1" s="360"/>
      <c r="AL1" s="359"/>
      <c r="AN1" s="358"/>
      <c r="AP1" s="359"/>
      <c r="AR1" s="358"/>
      <c r="AT1" s="359"/>
      <c r="AV1" s="360"/>
      <c r="AX1" s="361"/>
      <c r="AZ1" s="360"/>
      <c r="BB1" s="359"/>
      <c r="BD1" s="358"/>
      <c r="BF1" s="359"/>
      <c r="BH1" s="358"/>
      <c r="BJ1" s="359"/>
      <c r="BL1" s="360"/>
      <c r="BN1" s="361"/>
      <c r="BP1" s="360"/>
      <c r="BR1" s="359"/>
      <c r="BT1" s="358"/>
      <c r="BV1" s="359"/>
      <c r="BX1" s="358"/>
      <c r="BZ1" s="359"/>
      <c r="CB1" s="360"/>
      <c r="CD1" s="361"/>
      <c r="CF1" s="360"/>
      <c r="CH1" s="359"/>
      <c r="CJ1" s="358"/>
      <c r="CL1" s="359"/>
      <c r="CN1" s="358"/>
      <c r="CP1" s="359"/>
      <c r="CR1" s="360"/>
      <c r="CT1" s="361"/>
      <c r="CV1" s="360"/>
      <c r="CX1" s="359"/>
      <c r="CZ1" s="358"/>
      <c r="DB1" s="359"/>
      <c r="DD1" s="358"/>
      <c r="DF1" s="359"/>
      <c r="DH1" s="360"/>
      <c r="DJ1" s="361"/>
      <c r="DL1" s="360"/>
      <c r="DN1" s="359"/>
      <c r="DP1" s="358"/>
      <c r="DR1" s="359"/>
      <c r="DT1" s="358"/>
      <c r="DV1" s="359"/>
      <c r="DX1" s="360"/>
      <c r="DZ1" s="361"/>
      <c r="EB1" s="360"/>
      <c r="ED1" s="359"/>
      <c r="EF1" s="358"/>
      <c r="EH1" s="359"/>
      <c r="EJ1" s="358"/>
      <c r="EL1" s="359"/>
      <c r="EN1" s="358"/>
      <c r="EP1" s="359"/>
      <c r="ER1" s="358"/>
      <c r="ET1" s="359"/>
      <c r="EV1" s="358"/>
      <c r="EX1" s="359"/>
      <c r="EZ1" s="358"/>
      <c r="FB1" s="359"/>
      <c r="FD1" s="358"/>
      <c r="FF1" s="359"/>
      <c r="FH1" s="358"/>
      <c r="FJ1" s="359"/>
      <c r="FL1" s="358"/>
      <c r="FN1" s="359"/>
      <c r="FP1" s="358"/>
      <c r="FR1" s="359"/>
      <c r="FT1" s="358"/>
      <c r="FV1" s="359"/>
      <c r="FX1" s="358"/>
      <c r="FZ1" s="359"/>
      <c r="GB1" s="358"/>
      <c r="GD1" s="359"/>
      <c r="GF1" s="358"/>
      <c r="GH1" s="359"/>
      <c r="GJ1" s="358"/>
      <c r="GL1" s="359"/>
      <c r="GN1" s="358"/>
      <c r="GP1" s="359"/>
      <c r="GR1" s="358"/>
    </row>
    <row r="2">
      <c r="A2" s="355" t="s">
        <v>149</v>
      </c>
      <c r="B2" s="362" t="s">
        <v>150</v>
      </c>
      <c r="C2" s="362" t="s">
        <v>151</v>
      </c>
      <c r="D2" s="363" t="s">
        <v>150</v>
      </c>
      <c r="E2" s="363" t="s">
        <v>151</v>
      </c>
      <c r="F2" s="362" t="s">
        <v>150</v>
      </c>
      <c r="G2" s="362" t="s">
        <v>151</v>
      </c>
      <c r="H2" s="355" t="s">
        <v>150</v>
      </c>
      <c r="I2" s="355" t="s">
        <v>151</v>
      </c>
      <c r="J2" s="364" t="s">
        <v>150</v>
      </c>
      <c r="K2" s="364" t="s">
        <v>151</v>
      </c>
      <c r="L2" s="355" t="s">
        <v>150</v>
      </c>
      <c r="M2" s="355" t="s">
        <v>151</v>
      </c>
      <c r="N2" s="364" t="s">
        <v>150</v>
      </c>
      <c r="O2" s="364" t="s">
        <v>151</v>
      </c>
      <c r="P2" s="355" t="s">
        <v>150</v>
      </c>
      <c r="Q2" s="355" t="s">
        <v>151</v>
      </c>
      <c r="R2" s="364" t="s">
        <v>150</v>
      </c>
      <c r="S2" s="364" t="s">
        <v>151</v>
      </c>
      <c r="T2" s="355" t="s">
        <v>150</v>
      </c>
      <c r="U2" s="355" t="s">
        <v>151</v>
      </c>
      <c r="V2" s="364" t="s">
        <v>150</v>
      </c>
      <c r="W2" s="364" t="s">
        <v>151</v>
      </c>
      <c r="X2" s="355" t="s">
        <v>150</v>
      </c>
      <c r="Y2" s="355" t="s">
        <v>151</v>
      </c>
      <c r="Z2" s="364" t="s">
        <v>150</v>
      </c>
      <c r="AA2" s="364" t="s">
        <v>151</v>
      </c>
      <c r="AB2" s="355" t="s">
        <v>150</v>
      </c>
      <c r="AC2" s="355" t="s">
        <v>151</v>
      </c>
      <c r="AD2" s="364" t="s">
        <v>150</v>
      </c>
      <c r="AE2" s="364" t="s">
        <v>151</v>
      </c>
      <c r="AF2" s="355" t="s">
        <v>150</v>
      </c>
      <c r="AG2" s="355" t="s">
        <v>151</v>
      </c>
      <c r="AH2" s="364" t="s">
        <v>150</v>
      </c>
      <c r="AI2" s="364" t="s">
        <v>151</v>
      </c>
      <c r="AJ2" s="355" t="s">
        <v>150</v>
      </c>
      <c r="AK2" s="355" t="s">
        <v>151</v>
      </c>
      <c r="AL2" s="364" t="s">
        <v>150</v>
      </c>
      <c r="AM2" s="364" t="s">
        <v>151</v>
      </c>
      <c r="AN2" s="355" t="s">
        <v>150</v>
      </c>
      <c r="AO2" s="355" t="s">
        <v>151</v>
      </c>
      <c r="AP2" s="364" t="s">
        <v>150</v>
      </c>
      <c r="AQ2" s="364" t="s">
        <v>151</v>
      </c>
      <c r="AR2" s="355" t="s">
        <v>150</v>
      </c>
      <c r="AS2" s="355" t="s">
        <v>151</v>
      </c>
      <c r="AT2" s="364" t="s">
        <v>150</v>
      </c>
      <c r="AU2" s="364" t="s">
        <v>151</v>
      </c>
      <c r="AV2" s="355" t="s">
        <v>150</v>
      </c>
      <c r="AW2" s="355" t="s">
        <v>151</v>
      </c>
      <c r="AX2" s="364" t="s">
        <v>150</v>
      </c>
      <c r="AY2" s="364" t="s">
        <v>151</v>
      </c>
      <c r="AZ2" s="355" t="s">
        <v>150</v>
      </c>
      <c r="BA2" s="355" t="s">
        <v>151</v>
      </c>
      <c r="BB2" s="364" t="s">
        <v>150</v>
      </c>
      <c r="BC2" s="364" t="s">
        <v>151</v>
      </c>
      <c r="BD2" s="355" t="s">
        <v>150</v>
      </c>
      <c r="BE2" s="355" t="s">
        <v>151</v>
      </c>
      <c r="BF2" s="364" t="s">
        <v>150</v>
      </c>
      <c r="BG2" s="364" t="s">
        <v>151</v>
      </c>
      <c r="BH2" s="355" t="s">
        <v>150</v>
      </c>
      <c r="BI2" s="355" t="s">
        <v>151</v>
      </c>
      <c r="BJ2" s="364" t="s">
        <v>150</v>
      </c>
      <c r="BK2" s="364" t="s">
        <v>151</v>
      </c>
      <c r="BL2" s="355" t="s">
        <v>150</v>
      </c>
      <c r="BM2" s="355" t="s">
        <v>151</v>
      </c>
      <c r="BN2" s="364" t="s">
        <v>150</v>
      </c>
      <c r="BO2" s="364" t="s">
        <v>151</v>
      </c>
      <c r="BP2" s="355" t="s">
        <v>150</v>
      </c>
      <c r="BQ2" s="355" t="s">
        <v>151</v>
      </c>
      <c r="BR2" s="364" t="s">
        <v>150</v>
      </c>
      <c r="BS2" s="364" t="s">
        <v>151</v>
      </c>
      <c r="BT2" s="355" t="s">
        <v>150</v>
      </c>
      <c r="BU2" s="355" t="s">
        <v>151</v>
      </c>
      <c r="BV2" s="364" t="s">
        <v>150</v>
      </c>
      <c r="BW2" s="364" t="s">
        <v>151</v>
      </c>
      <c r="BX2" s="355" t="s">
        <v>150</v>
      </c>
      <c r="BY2" s="355" t="s">
        <v>151</v>
      </c>
      <c r="BZ2" s="364" t="s">
        <v>150</v>
      </c>
      <c r="CA2" s="364" t="s">
        <v>151</v>
      </c>
      <c r="CB2" s="355" t="s">
        <v>150</v>
      </c>
      <c r="CC2" s="355" t="s">
        <v>151</v>
      </c>
      <c r="CD2" s="364" t="s">
        <v>150</v>
      </c>
      <c r="CE2" s="364" t="s">
        <v>151</v>
      </c>
      <c r="CF2" s="355" t="s">
        <v>150</v>
      </c>
      <c r="CG2" s="355" t="s">
        <v>151</v>
      </c>
      <c r="CH2" s="364" t="s">
        <v>150</v>
      </c>
      <c r="CI2" s="364" t="s">
        <v>151</v>
      </c>
      <c r="CJ2" s="355" t="s">
        <v>150</v>
      </c>
      <c r="CK2" s="355" t="s">
        <v>151</v>
      </c>
      <c r="CL2" s="364" t="s">
        <v>150</v>
      </c>
      <c r="CM2" s="364" t="s">
        <v>151</v>
      </c>
      <c r="CN2" s="355" t="s">
        <v>150</v>
      </c>
      <c r="CO2" s="355" t="s">
        <v>151</v>
      </c>
      <c r="CP2" s="364" t="s">
        <v>150</v>
      </c>
      <c r="CQ2" s="364" t="s">
        <v>151</v>
      </c>
      <c r="CR2" s="355" t="s">
        <v>150</v>
      </c>
      <c r="CS2" s="355" t="s">
        <v>151</v>
      </c>
      <c r="CT2" s="364" t="s">
        <v>150</v>
      </c>
      <c r="CU2" s="364" t="s">
        <v>151</v>
      </c>
      <c r="CV2" s="355" t="s">
        <v>150</v>
      </c>
      <c r="CW2" s="355" t="s">
        <v>151</v>
      </c>
      <c r="CX2" s="364" t="s">
        <v>150</v>
      </c>
      <c r="CY2" s="364" t="s">
        <v>151</v>
      </c>
      <c r="CZ2" s="355" t="s">
        <v>150</v>
      </c>
      <c r="DA2" s="355" t="s">
        <v>151</v>
      </c>
      <c r="DB2" s="364" t="s">
        <v>150</v>
      </c>
      <c r="DC2" s="364" t="s">
        <v>151</v>
      </c>
      <c r="DD2" s="355" t="s">
        <v>150</v>
      </c>
      <c r="DE2" s="355" t="s">
        <v>151</v>
      </c>
      <c r="DF2" s="364" t="s">
        <v>150</v>
      </c>
      <c r="DG2" s="364" t="s">
        <v>151</v>
      </c>
      <c r="DH2" s="355" t="s">
        <v>150</v>
      </c>
      <c r="DI2" s="355" t="s">
        <v>151</v>
      </c>
      <c r="DJ2" s="364" t="s">
        <v>150</v>
      </c>
      <c r="DK2" s="364" t="s">
        <v>151</v>
      </c>
      <c r="DL2" s="355" t="s">
        <v>150</v>
      </c>
      <c r="DM2" s="355" t="s">
        <v>151</v>
      </c>
      <c r="DN2" s="364" t="s">
        <v>150</v>
      </c>
      <c r="DO2" s="364" t="s">
        <v>151</v>
      </c>
      <c r="DP2" s="355" t="s">
        <v>150</v>
      </c>
      <c r="DQ2" s="355" t="s">
        <v>151</v>
      </c>
      <c r="DR2" s="364" t="s">
        <v>150</v>
      </c>
      <c r="DS2" s="364" t="s">
        <v>151</v>
      </c>
      <c r="DT2" s="355" t="s">
        <v>150</v>
      </c>
      <c r="DU2" s="355" t="s">
        <v>151</v>
      </c>
      <c r="DV2" s="364" t="s">
        <v>150</v>
      </c>
      <c r="DW2" s="364" t="s">
        <v>151</v>
      </c>
      <c r="DX2" s="355" t="s">
        <v>150</v>
      </c>
      <c r="DY2" s="355" t="s">
        <v>151</v>
      </c>
      <c r="DZ2" s="364" t="s">
        <v>150</v>
      </c>
      <c r="EA2" s="364" t="s">
        <v>151</v>
      </c>
      <c r="EB2" s="355" t="s">
        <v>150</v>
      </c>
      <c r="EC2" s="355" t="s">
        <v>151</v>
      </c>
      <c r="ED2" s="364" t="s">
        <v>150</v>
      </c>
      <c r="EE2" s="364" t="s">
        <v>151</v>
      </c>
      <c r="EF2" s="355" t="s">
        <v>150</v>
      </c>
      <c r="EG2" s="355" t="s">
        <v>151</v>
      </c>
      <c r="EH2" s="364" t="s">
        <v>150</v>
      </c>
      <c r="EI2" s="364" t="s">
        <v>151</v>
      </c>
      <c r="EJ2" s="355" t="s">
        <v>150</v>
      </c>
      <c r="EK2" s="355" t="s">
        <v>151</v>
      </c>
      <c r="EL2" s="364" t="s">
        <v>150</v>
      </c>
      <c r="EM2" s="364" t="s">
        <v>151</v>
      </c>
      <c r="EN2" s="355" t="s">
        <v>150</v>
      </c>
      <c r="EO2" s="355" t="s">
        <v>151</v>
      </c>
      <c r="EP2" s="364" t="s">
        <v>150</v>
      </c>
      <c r="EQ2" s="364" t="s">
        <v>151</v>
      </c>
      <c r="ER2" s="355" t="s">
        <v>150</v>
      </c>
      <c r="ES2" s="355" t="s">
        <v>151</v>
      </c>
      <c r="ET2" s="364" t="s">
        <v>150</v>
      </c>
      <c r="EU2" s="364" t="s">
        <v>151</v>
      </c>
      <c r="EV2" s="355" t="s">
        <v>150</v>
      </c>
      <c r="EW2" s="355" t="s">
        <v>151</v>
      </c>
      <c r="EX2" s="364" t="s">
        <v>150</v>
      </c>
      <c r="EY2" s="364" t="s">
        <v>151</v>
      </c>
      <c r="EZ2" s="355" t="s">
        <v>150</v>
      </c>
      <c r="FA2" s="355" t="s">
        <v>151</v>
      </c>
      <c r="FB2" s="364" t="s">
        <v>150</v>
      </c>
      <c r="FC2" s="364" t="s">
        <v>151</v>
      </c>
      <c r="FD2" s="355" t="s">
        <v>150</v>
      </c>
      <c r="FE2" s="355" t="s">
        <v>151</v>
      </c>
      <c r="FF2" s="364" t="s">
        <v>150</v>
      </c>
      <c r="FG2" s="364" t="s">
        <v>151</v>
      </c>
      <c r="FH2" s="355" t="s">
        <v>150</v>
      </c>
      <c r="FI2" s="355" t="s">
        <v>151</v>
      </c>
      <c r="FJ2" s="364" t="s">
        <v>150</v>
      </c>
      <c r="FK2" s="364" t="s">
        <v>151</v>
      </c>
      <c r="FL2" s="355" t="s">
        <v>150</v>
      </c>
      <c r="FM2" s="355" t="s">
        <v>151</v>
      </c>
      <c r="FN2" s="364" t="s">
        <v>150</v>
      </c>
      <c r="FO2" s="364" t="s">
        <v>151</v>
      </c>
      <c r="FP2" s="355" t="s">
        <v>150</v>
      </c>
      <c r="FQ2" s="355" t="s">
        <v>151</v>
      </c>
      <c r="FR2" s="364" t="s">
        <v>150</v>
      </c>
      <c r="FS2" s="364" t="s">
        <v>151</v>
      </c>
      <c r="FT2" s="355" t="s">
        <v>150</v>
      </c>
      <c r="FU2" s="355" t="s">
        <v>151</v>
      </c>
      <c r="FV2" s="364" t="s">
        <v>150</v>
      </c>
      <c r="FW2" s="364" t="s">
        <v>151</v>
      </c>
      <c r="FX2" s="355" t="s">
        <v>150</v>
      </c>
      <c r="FY2" s="355" t="s">
        <v>151</v>
      </c>
      <c r="FZ2" s="364" t="s">
        <v>150</v>
      </c>
      <c r="GA2" s="364" t="s">
        <v>151</v>
      </c>
      <c r="GB2" s="355" t="s">
        <v>150</v>
      </c>
      <c r="GC2" s="355" t="s">
        <v>151</v>
      </c>
      <c r="GD2" s="364" t="s">
        <v>150</v>
      </c>
      <c r="GE2" s="364" t="s">
        <v>151</v>
      </c>
      <c r="GF2" s="355" t="s">
        <v>150</v>
      </c>
      <c r="GG2" s="355" t="s">
        <v>151</v>
      </c>
      <c r="GH2" s="364" t="s">
        <v>150</v>
      </c>
      <c r="GI2" s="364" t="s">
        <v>151</v>
      </c>
      <c r="GJ2" s="355" t="s">
        <v>150</v>
      </c>
      <c r="GK2" s="355" t="s">
        <v>151</v>
      </c>
      <c r="GL2" s="364" t="s">
        <v>150</v>
      </c>
      <c r="GM2" s="364" t="s">
        <v>151</v>
      </c>
      <c r="GN2" s="355" t="s">
        <v>150</v>
      </c>
      <c r="GO2" s="355" t="s">
        <v>151</v>
      </c>
      <c r="GP2" s="364" t="s">
        <v>150</v>
      </c>
      <c r="GQ2" s="364" t="s">
        <v>151</v>
      </c>
      <c r="GR2" s="355" t="s">
        <v>150</v>
      </c>
      <c r="GS2" s="355" t="s">
        <v>151</v>
      </c>
    </row>
    <row r="3">
      <c r="A3" s="365" t="s">
        <v>152</v>
      </c>
      <c r="B3" s="366"/>
      <c r="C3" s="366"/>
      <c r="D3" s="366"/>
      <c r="E3" s="366"/>
      <c r="F3" s="366"/>
      <c r="G3" s="366"/>
      <c r="H3" s="365"/>
      <c r="I3" s="365"/>
      <c r="J3" s="365"/>
      <c r="K3" s="365"/>
      <c r="L3" s="365"/>
      <c r="M3" s="365"/>
      <c r="N3" s="365"/>
      <c r="O3" s="365"/>
      <c r="P3" s="365"/>
      <c r="Q3" s="365"/>
      <c r="R3" s="365"/>
      <c r="S3" s="365"/>
      <c r="T3" s="365"/>
      <c r="U3" s="365"/>
      <c r="V3" s="365"/>
      <c r="W3" s="365"/>
      <c r="X3" s="365"/>
      <c r="Y3" s="365"/>
      <c r="Z3" s="365"/>
      <c r="AA3" s="365"/>
      <c r="AB3" s="365"/>
      <c r="AC3" s="365"/>
      <c r="AD3" s="365"/>
      <c r="AE3" s="365"/>
      <c r="AF3" s="365"/>
      <c r="AG3" s="365"/>
      <c r="AH3" s="365"/>
      <c r="AI3" s="365"/>
      <c r="AJ3" s="365"/>
      <c r="AK3" s="365"/>
      <c r="AL3" s="365"/>
      <c r="AM3" s="365"/>
      <c r="AN3" s="365"/>
      <c r="AO3" s="365"/>
      <c r="AP3" s="365"/>
      <c r="AQ3" s="365"/>
      <c r="AR3" s="365"/>
      <c r="AS3" s="365"/>
      <c r="AT3" s="365"/>
      <c r="AU3" s="365"/>
      <c r="AV3" s="365"/>
      <c r="AW3" s="365"/>
      <c r="AX3" s="365"/>
      <c r="AY3" s="365"/>
      <c r="AZ3" s="365"/>
      <c r="BA3" s="365"/>
      <c r="BB3" s="365"/>
      <c r="BC3" s="365"/>
      <c r="BD3" s="365"/>
      <c r="BE3" s="365"/>
      <c r="BF3" s="365"/>
      <c r="BG3" s="365"/>
      <c r="BH3" s="365"/>
      <c r="BI3" s="365"/>
      <c r="BJ3" s="365"/>
      <c r="BK3" s="365"/>
      <c r="BL3" s="365"/>
      <c r="BM3" s="365"/>
      <c r="BN3" s="365"/>
      <c r="BO3" s="365"/>
      <c r="BP3" s="365"/>
      <c r="BQ3" s="365"/>
      <c r="BR3" s="365"/>
      <c r="BS3" s="365"/>
      <c r="BT3" s="365"/>
      <c r="BU3" s="365"/>
      <c r="BV3" s="365"/>
      <c r="BW3" s="365"/>
      <c r="BX3" s="365"/>
      <c r="BY3" s="365"/>
      <c r="BZ3" s="365"/>
      <c r="CA3" s="365"/>
      <c r="CB3" s="365"/>
      <c r="CC3" s="365"/>
      <c r="CD3" s="365"/>
      <c r="CE3" s="365"/>
      <c r="CF3" s="365"/>
      <c r="CG3" s="365"/>
      <c r="CH3" s="365"/>
      <c r="CI3" s="365"/>
      <c r="CJ3" s="365"/>
      <c r="CK3" s="365"/>
      <c r="CL3" s="365"/>
      <c r="CM3" s="365"/>
      <c r="CN3" s="365"/>
      <c r="CO3" s="365"/>
      <c r="CP3" s="365"/>
      <c r="CQ3" s="365"/>
      <c r="CR3" s="365"/>
      <c r="CS3" s="365"/>
      <c r="CT3" s="365"/>
      <c r="CU3" s="365"/>
      <c r="CV3" s="365"/>
      <c r="CW3" s="365"/>
      <c r="CX3" s="365"/>
      <c r="CY3" s="365"/>
      <c r="CZ3" s="365"/>
      <c r="DA3" s="365"/>
      <c r="DB3" s="365"/>
      <c r="DC3" s="365"/>
      <c r="DD3" s="365"/>
      <c r="DE3" s="365"/>
      <c r="DF3" s="365"/>
      <c r="DG3" s="365"/>
      <c r="DH3" s="365"/>
      <c r="DI3" s="365"/>
      <c r="DJ3" s="365"/>
      <c r="DK3" s="365"/>
      <c r="DL3" s="365"/>
      <c r="DM3" s="365"/>
      <c r="DN3" s="365"/>
      <c r="DO3" s="365"/>
      <c r="DP3" s="365"/>
      <c r="DQ3" s="365"/>
      <c r="DR3" s="365"/>
      <c r="DS3" s="365"/>
      <c r="DT3" s="365"/>
      <c r="DU3" s="365"/>
      <c r="DV3" s="365"/>
      <c r="DW3" s="365"/>
      <c r="DX3" s="365"/>
      <c r="DY3" s="365"/>
      <c r="DZ3" s="365"/>
      <c r="EA3" s="365"/>
      <c r="EB3" s="365"/>
      <c r="EC3" s="365"/>
      <c r="ED3" s="365"/>
      <c r="EE3" s="365"/>
      <c r="EF3" s="365"/>
      <c r="EG3" s="365"/>
      <c r="EH3" s="365"/>
      <c r="EI3" s="365"/>
      <c r="EJ3" s="365"/>
      <c r="EK3" s="365"/>
      <c r="EL3" s="365"/>
      <c r="EM3" s="365"/>
      <c r="EN3" s="365"/>
      <c r="EO3" s="365"/>
      <c r="EP3" s="365"/>
      <c r="EQ3" s="365"/>
      <c r="ER3" s="365"/>
      <c r="ES3" s="365"/>
      <c r="ET3" s="365"/>
      <c r="EU3" s="365"/>
      <c r="EV3" s="365"/>
      <c r="EW3" s="365"/>
      <c r="EX3" s="365"/>
      <c r="EY3" s="365"/>
      <c r="EZ3" s="365"/>
      <c r="FA3" s="365"/>
      <c r="FB3" s="365"/>
      <c r="FC3" s="365"/>
      <c r="FD3" s="365"/>
      <c r="FE3" s="365"/>
      <c r="FF3" s="365"/>
      <c r="FG3" s="365"/>
      <c r="FH3" s="365"/>
      <c r="FI3" s="365"/>
      <c r="FJ3" s="365"/>
      <c r="FK3" s="365"/>
      <c r="FL3" s="365"/>
      <c r="FM3" s="365"/>
      <c r="FN3" s="365"/>
      <c r="FO3" s="365"/>
      <c r="FP3" s="365"/>
      <c r="FQ3" s="365"/>
      <c r="FR3" s="365"/>
      <c r="FS3" s="365"/>
      <c r="FT3" s="365"/>
      <c r="FU3" s="365"/>
      <c r="FV3" s="365"/>
      <c r="FW3" s="365"/>
      <c r="FX3" s="365"/>
      <c r="FY3" s="365"/>
      <c r="FZ3" s="365"/>
      <c r="GA3" s="365"/>
      <c r="GB3" s="365"/>
      <c r="GC3" s="365"/>
      <c r="GD3" s="365"/>
      <c r="GE3" s="365"/>
      <c r="GF3" s="365"/>
      <c r="GG3" s="365"/>
      <c r="GH3" s="365"/>
      <c r="GI3" s="365"/>
      <c r="GJ3" s="365"/>
      <c r="GK3" s="365"/>
      <c r="GL3" s="365"/>
      <c r="GM3" s="365"/>
      <c r="GN3" s="365"/>
      <c r="GO3" s="365"/>
      <c r="GP3" s="365"/>
      <c r="GQ3" s="365"/>
      <c r="GR3" s="365"/>
      <c r="GS3" s="365"/>
    </row>
    <row r="4">
      <c r="A4" s="367" t="s">
        <v>153</v>
      </c>
      <c r="B4" s="368"/>
      <c r="C4" s="368"/>
      <c r="D4" s="369"/>
      <c r="E4" s="369"/>
      <c r="F4" s="368"/>
      <c r="G4" s="368"/>
      <c r="H4" s="370"/>
      <c r="I4" s="370"/>
      <c r="J4" s="371"/>
      <c r="K4" s="371"/>
      <c r="L4" s="370"/>
      <c r="M4" s="370"/>
      <c r="N4" s="371"/>
      <c r="O4" s="371"/>
      <c r="P4" s="370"/>
      <c r="Q4" s="370"/>
      <c r="R4" s="371"/>
      <c r="S4" s="371"/>
      <c r="T4" s="370"/>
      <c r="U4" s="370"/>
      <c r="V4" s="371"/>
      <c r="W4" s="371"/>
      <c r="X4" s="370"/>
      <c r="Y4" s="370"/>
      <c r="Z4" s="371"/>
      <c r="AA4" s="371"/>
      <c r="AB4" s="370"/>
      <c r="AC4" s="370"/>
      <c r="AD4" s="371"/>
      <c r="AE4" s="371"/>
      <c r="AF4" s="370"/>
      <c r="AG4" s="370"/>
      <c r="AH4" s="371"/>
      <c r="AI4" s="371"/>
      <c r="AJ4" s="370"/>
      <c r="AK4" s="370"/>
      <c r="AL4" s="371"/>
      <c r="AM4" s="371"/>
      <c r="AN4" s="370"/>
      <c r="AO4" s="370"/>
      <c r="AP4" s="371"/>
      <c r="AQ4" s="371"/>
      <c r="AR4" s="370"/>
      <c r="AS4" s="370"/>
      <c r="AT4" s="371"/>
      <c r="AU4" s="371"/>
      <c r="AV4" s="370"/>
      <c r="AW4" s="370"/>
      <c r="AX4" s="371"/>
      <c r="AY4" s="371"/>
      <c r="AZ4" s="370"/>
      <c r="BA4" s="370"/>
      <c r="BB4" s="371"/>
      <c r="BC4" s="371"/>
      <c r="BD4" s="370"/>
      <c r="BE4" s="370"/>
      <c r="BF4" s="371"/>
      <c r="BG4" s="371"/>
      <c r="BH4" s="370"/>
      <c r="BI4" s="370"/>
      <c r="BJ4" s="371"/>
      <c r="BK4" s="371"/>
      <c r="BL4" s="370"/>
      <c r="BM4" s="370"/>
      <c r="BN4" s="371"/>
      <c r="BO4" s="371"/>
      <c r="BP4" s="370"/>
      <c r="BQ4" s="370"/>
      <c r="BR4" s="371"/>
      <c r="BS4" s="371"/>
      <c r="BT4" s="370"/>
      <c r="BU4" s="370"/>
      <c r="BV4" s="371"/>
      <c r="BW4" s="371"/>
      <c r="BX4" s="370"/>
      <c r="BY4" s="370"/>
      <c r="BZ4" s="371"/>
      <c r="CA4" s="371"/>
      <c r="CB4" s="370"/>
      <c r="CC4" s="370"/>
      <c r="CD4" s="371"/>
      <c r="CE4" s="371"/>
      <c r="CF4" s="370"/>
      <c r="CG4" s="370"/>
      <c r="CH4" s="371"/>
      <c r="CI4" s="371"/>
      <c r="CJ4" s="370"/>
      <c r="CK4" s="370"/>
      <c r="CL4" s="371"/>
      <c r="CM4" s="371"/>
      <c r="CN4" s="370"/>
      <c r="CO4" s="370"/>
      <c r="CP4" s="371"/>
      <c r="CQ4" s="371"/>
      <c r="CR4" s="370"/>
      <c r="CS4" s="370"/>
      <c r="CT4" s="371"/>
      <c r="CU4" s="371"/>
      <c r="CV4" s="370"/>
      <c r="CW4" s="370"/>
      <c r="CX4" s="371"/>
      <c r="CY4" s="371"/>
      <c r="CZ4" s="370"/>
      <c r="DA4" s="370"/>
      <c r="DB4" s="371"/>
      <c r="DC4" s="371"/>
      <c r="DD4" s="370"/>
      <c r="DE4" s="370"/>
      <c r="DF4" s="371"/>
      <c r="DG4" s="371"/>
      <c r="DH4" s="370"/>
      <c r="DI4" s="370"/>
      <c r="DJ4" s="371"/>
      <c r="DK4" s="371"/>
      <c r="DL4" s="370"/>
      <c r="DM4" s="370"/>
      <c r="DN4" s="371"/>
      <c r="DO4" s="371"/>
      <c r="DP4" s="370"/>
      <c r="DQ4" s="370"/>
      <c r="DR4" s="371"/>
      <c r="DS4" s="371"/>
      <c r="DT4" s="370"/>
      <c r="DU4" s="370"/>
      <c r="DV4" s="371"/>
      <c r="DW4" s="371"/>
      <c r="DX4" s="370"/>
      <c r="DY4" s="370"/>
      <c r="DZ4" s="371"/>
      <c r="EA4" s="371"/>
      <c r="EB4" s="370"/>
      <c r="EC4" s="370"/>
      <c r="ED4" s="371"/>
      <c r="EE4" s="371"/>
      <c r="EF4" s="370"/>
      <c r="EG4" s="370"/>
      <c r="EH4" s="371"/>
      <c r="EI4" s="371"/>
      <c r="EJ4" s="370"/>
      <c r="EK4" s="370"/>
      <c r="EL4" s="371"/>
      <c r="EM4" s="371"/>
      <c r="EN4" s="370"/>
      <c r="EO4" s="370"/>
      <c r="EP4" s="371"/>
      <c r="EQ4" s="371"/>
      <c r="ER4" s="370"/>
      <c r="ES4" s="370"/>
      <c r="ET4" s="371"/>
      <c r="EU4" s="371"/>
      <c r="EV4" s="370"/>
      <c r="EW4" s="370"/>
      <c r="EX4" s="371"/>
      <c r="EY4" s="371"/>
      <c r="EZ4" s="370"/>
      <c r="FA4" s="370"/>
      <c r="FB4" s="371"/>
      <c r="FC4" s="371"/>
      <c r="FD4" s="370"/>
      <c r="FE4" s="370"/>
      <c r="FF4" s="371"/>
      <c r="FG4" s="371"/>
      <c r="FH4" s="370"/>
      <c r="FI4" s="370"/>
      <c r="FJ4" s="371"/>
      <c r="FK4" s="371"/>
      <c r="FL4" s="370"/>
      <c r="FM4" s="370"/>
      <c r="FN4" s="371"/>
      <c r="FO4" s="371"/>
      <c r="FP4" s="370"/>
      <c r="FQ4" s="370"/>
      <c r="FR4" s="371"/>
      <c r="FS4" s="371"/>
      <c r="FT4" s="370"/>
      <c r="FU4" s="370"/>
      <c r="FV4" s="371"/>
      <c r="FW4" s="371"/>
      <c r="FX4" s="370"/>
      <c r="FY4" s="370"/>
      <c r="FZ4" s="371"/>
      <c r="GA4" s="371"/>
      <c r="GB4" s="370"/>
      <c r="GC4" s="370"/>
      <c r="GD4" s="371"/>
      <c r="GE4" s="371"/>
      <c r="GF4" s="370"/>
      <c r="GG4" s="370"/>
      <c r="GH4" s="371"/>
      <c r="GI4" s="371"/>
      <c r="GJ4" s="370"/>
      <c r="GK4" s="370"/>
      <c r="GL4" s="371"/>
      <c r="GM4" s="371"/>
      <c r="GN4" s="370"/>
      <c r="GO4" s="370"/>
      <c r="GP4" s="371"/>
      <c r="GQ4" s="371"/>
      <c r="GR4" s="370"/>
      <c r="GS4" s="370"/>
    </row>
    <row r="5">
      <c r="A5" s="367" t="s">
        <v>154</v>
      </c>
      <c r="B5" s="368"/>
      <c r="C5" s="368"/>
      <c r="D5" s="369"/>
      <c r="E5" s="369"/>
      <c r="F5" s="368"/>
      <c r="G5" s="368"/>
      <c r="H5" s="370"/>
      <c r="I5" s="370"/>
      <c r="J5" s="371"/>
      <c r="K5" s="371"/>
      <c r="L5" s="370"/>
      <c r="M5" s="370"/>
      <c r="N5" s="371"/>
      <c r="O5" s="371"/>
      <c r="P5" s="370"/>
      <c r="Q5" s="370"/>
      <c r="R5" s="371"/>
      <c r="S5" s="371"/>
      <c r="T5" s="370"/>
      <c r="U5" s="370"/>
      <c r="V5" s="371"/>
      <c r="W5" s="371"/>
      <c r="X5" s="370"/>
      <c r="Y5" s="370"/>
      <c r="Z5" s="371"/>
      <c r="AA5" s="371"/>
      <c r="AB5" s="370"/>
      <c r="AC5" s="370"/>
      <c r="AD5" s="371"/>
      <c r="AE5" s="371"/>
      <c r="AF5" s="370"/>
      <c r="AG5" s="370"/>
      <c r="AH5" s="371"/>
      <c r="AI5" s="371"/>
      <c r="AJ5" s="370"/>
      <c r="AK5" s="370"/>
      <c r="AL5" s="371"/>
      <c r="AM5" s="371"/>
      <c r="AN5" s="370"/>
      <c r="AO5" s="370"/>
      <c r="AP5" s="371"/>
      <c r="AQ5" s="371"/>
      <c r="AR5" s="370"/>
      <c r="AS5" s="370"/>
      <c r="AT5" s="371"/>
      <c r="AU5" s="371"/>
      <c r="AV5" s="370"/>
      <c r="AW5" s="370"/>
      <c r="AX5" s="371"/>
      <c r="AY5" s="371"/>
      <c r="AZ5" s="370"/>
      <c r="BA5" s="370"/>
      <c r="BB5" s="371"/>
      <c r="BC5" s="371"/>
      <c r="BD5" s="370"/>
      <c r="BE5" s="370"/>
      <c r="BF5" s="371"/>
      <c r="BG5" s="371"/>
      <c r="BH5" s="370"/>
      <c r="BI5" s="370"/>
      <c r="BJ5" s="371"/>
      <c r="BK5" s="371"/>
      <c r="BL5" s="370"/>
      <c r="BM5" s="370"/>
      <c r="BN5" s="371"/>
      <c r="BO5" s="371"/>
      <c r="BP5" s="370"/>
      <c r="BQ5" s="370"/>
      <c r="BR5" s="371"/>
      <c r="BS5" s="371"/>
      <c r="BT5" s="370"/>
      <c r="BU5" s="370"/>
      <c r="BV5" s="371"/>
      <c r="BW5" s="371"/>
      <c r="BX5" s="370"/>
      <c r="BY5" s="370"/>
      <c r="BZ5" s="371"/>
      <c r="CA5" s="371"/>
      <c r="CB5" s="370"/>
      <c r="CC5" s="370"/>
      <c r="CD5" s="371"/>
      <c r="CE5" s="371"/>
      <c r="CF5" s="370"/>
      <c r="CG5" s="370"/>
      <c r="CH5" s="371"/>
      <c r="CI5" s="371"/>
      <c r="CJ5" s="370"/>
      <c r="CK5" s="370"/>
      <c r="CL5" s="371"/>
      <c r="CM5" s="371"/>
      <c r="CN5" s="370"/>
      <c r="CO5" s="370"/>
      <c r="CP5" s="371"/>
      <c r="CQ5" s="371"/>
      <c r="CR5" s="370"/>
      <c r="CS5" s="370"/>
      <c r="CT5" s="371"/>
      <c r="CU5" s="371"/>
      <c r="CV5" s="370"/>
      <c r="CW5" s="370"/>
      <c r="CX5" s="371"/>
      <c r="CY5" s="371"/>
      <c r="CZ5" s="370"/>
      <c r="DA5" s="370"/>
      <c r="DB5" s="371"/>
      <c r="DC5" s="371"/>
      <c r="DD5" s="370"/>
      <c r="DE5" s="370"/>
      <c r="DF5" s="371"/>
      <c r="DG5" s="371"/>
      <c r="DH5" s="370"/>
      <c r="DI5" s="370"/>
      <c r="DJ5" s="371"/>
      <c r="DK5" s="371"/>
      <c r="DL5" s="370"/>
      <c r="DM5" s="370"/>
      <c r="DN5" s="371"/>
      <c r="DO5" s="371"/>
      <c r="DP5" s="370"/>
      <c r="DQ5" s="370"/>
      <c r="DR5" s="371"/>
      <c r="DS5" s="371"/>
      <c r="DT5" s="370"/>
      <c r="DU5" s="370"/>
      <c r="DV5" s="371"/>
      <c r="DW5" s="371"/>
      <c r="DX5" s="370"/>
      <c r="DY5" s="370"/>
      <c r="DZ5" s="371"/>
      <c r="EA5" s="371"/>
      <c r="EB5" s="370"/>
      <c r="EC5" s="370"/>
      <c r="ED5" s="371"/>
      <c r="EE5" s="371"/>
      <c r="EF5" s="370"/>
      <c r="EG5" s="370"/>
      <c r="EH5" s="371"/>
      <c r="EI5" s="371"/>
      <c r="EJ5" s="370"/>
      <c r="EK5" s="370"/>
      <c r="EL5" s="371"/>
      <c r="EM5" s="371"/>
      <c r="EN5" s="370"/>
      <c r="EO5" s="370"/>
      <c r="EP5" s="371"/>
      <c r="EQ5" s="371"/>
      <c r="ER5" s="370"/>
      <c r="ES5" s="370"/>
      <c r="ET5" s="371"/>
      <c r="EU5" s="371"/>
      <c r="EV5" s="370"/>
      <c r="EW5" s="370"/>
      <c r="EX5" s="371"/>
      <c r="EY5" s="371"/>
      <c r="EZ5" s="370"/>
      <c r="FA5" s="370"/>
      <c r="FB5" s="371"/>
      <c r="FC5" s="371"/>
      <c r="FD5" s="370"/>
      <c r="FE5" s="370"/>
      <c r="FF5" s="371"/>
      <c r="FG5" s="371"/>
      <c r="FH5" s="370"/>
      <c r="FI5" s="370"/>
      <c r="FJ5" s="371"/>
      <c r="FK5" s="371"/>
      <c r="FL5" s="370"/>
      <c r="FM5" s="370"/>
      <c r="FN5" s="371"/>
      <c r="FO5" s="371"/>
      <c r="FP5" s="370"/>
      <c r="FQ5" s="370"/>
      <c r="FR5" s="371"/>
      <c r="FS5" s="371"/>
      <c r="FT5" s="370"/>
      <c r="FU5" s="370"/>
      <c r="FV5" s="371"/>
      <c r="FW5" s="371"/>
      <c r="FX5" s="370"/>
      <c r="FY5" s="370"/>
      <c r="FZ5" s="371"/>
      <c r="GA5" s="371"/>
      <c r="GB5" s="370"/>
      <c r="GC5" s="370"/>
      <c r="GD5" s="371"/>
      <c r="GE5" s="371"/>
      <c r="GF5" s="370"/>
      <c r="GG5" s="370"/>
      <c r="GH5" s="371"/>
      <c r="GI5" s="371"/>
      <c r="GJ5" s="370"/>
      <c r="GK5" s="370"/>
      <c r="GL5" s="371"/>
      <c r="GM5" s="371"/>
      <c r="GN5" s="370"/>
      <c r="GO5" s="370"/>
      <c r="GP5" s="371"/>
      <c r="GQ5" s="371"/>
      <c r="GR5" s="370"/>
      <c r="GS5" s="370"/>
    </row>
    <row r="6">
      <c r="A6" s="367" t="s">
        <v>155</v>
      </c>
      <c r="B6" s="368"/>
      <c r="C6" s="372"/>
      <c r="D6" s="369"/>
      <c r="E6" s="369"/>
      <c r="F6" s="368"/>
      <c r="G6" s="368"/>
      <c r="H6" s="370"/>
      <c r="I6" s="370"/>
      <c r="J6" s="371"/>
      <c r="K6" s="371"/>
      <c r="L6" s="370"/>
      <c r="M6" s="370"/>
      <c r="N6" s="371"/>
      <c r="O6" s="371"/>
      <c r="P6" s="370"/>
      <c r="Q6" s="370"/>
      <c r="R6" s="371"/>
      <c r="S6" s="371"/>
      <c r="T6" s="370"/>
      <c r="U6" s="370"/>
      <c r="V6" s="371"/>
      <c r="W6" s="371"/>
      <c r="X6" s="370"/>
      <c r="Y6" s="370"/>
      <c r="Z6" s="371"/>
      <c r="AA6" s="371"/>
      <c r="AB6" s="370"/>
      <c r="AC6" s="370"/>
      <c r="AD6" s="371"/>
      <c r="AE6" s="371"/>
      <c r="AF6" s="370"/>
      <c r="AG6" s="370"/>
      <c r="AH6" s="371"/>
      <c r="AI6" s="371"/>
      <c r="AJ6" s="370"/>
      <c r="AK6" s="370"/>
      <c r="AL6" s="371"/>
      <c r="AM6" s="371"/>
      <c r="AN6" s="370"/>
      <c r="AO6" s="370"/>
      <c r="AP6" s="371"/>
      <c r="AQ6" s="371"/>
      <c r="AR6" s="370"/>
      <c r="AS6" s="370"/>
      <c r="AT6" s="371"/>
      <c r="AU6" s="371"/>
      <c r="AV6" s="370"/>
      <c r="AW6" s="370"/>
      <c r="AX6" s="371"/>
      <c r="AY6" s="371"/>
      <c r="AZ6" s="370"/>
      <c r="BA6" s="370"/>
      <c r="BB6" s="371"/>
      <c r="BC6" s="371"/>
      <c r="BD6" s="370"/>
      <c r="BE6" s="370"/>
      <c r="BF6" s="371"/>
      <c r="BG6" s="371"/>
      <c r="BH6" s="370"/>
      <c r="BI6" s="370"/>
      <c r="BJ6" s="371"/>
      <c r="BK6" s="371"/>
      <c r="BL6" s="370"/>
      <c r="BM6" s="370"/>
      <c r="BN6" s="371"/>
      <c r="BO6" s="371"/>
      <c r="BP6" s="370"/>
      <c r="BQ6" s="370"/>
      <c r="BR6" s="371"/>
      <c r="BS6" s="371"/>
      <c r="BT6" s="370"/>
      <c r="BU6" s="370"/>
      <c r="BV6" s="371"/>
      <c r="BW6" s="371"/>
      <c r="BX6" s="370"/>
      <c r="BY6" s="370"/>
      <c r="BZ6" s="371"/>
      <c r="CA6" s="371"/>
      <c r="CB6" s="370"/>
      <c r="CC6" s="370"/>
      <c r="CD6" s="371"/>
      <c r="CE6" s="371"/>
      <c r="CF6" s="370"/>
      <c r="CG6" s="370"/>
      <c r="CH6" s="371"/>
      <c r="CI6" s="371"/>
      <c r="CJ6" s="370"/>
      <c r="CK6" s="370"/>
      <c r="CL6" s="371"/>
      <c r="CM6" s="371"/>
      <c r="CN6" s="370"/>
      <c r="CO6" s="370"/>
      <c r="CP6" s="371"/>
      <c r="CQ6" s="371"/>
      <c r="CR6" s="370"/>
      <c r="CS6" s="370"/>
      <c r="CT6" s="371"/>
      <c r="CU6" s="371"/>
      <c r="CV6" s="370"/>
      <c r="CW6" s="370"/>
      <c r="CX6" s="371"/>
      <c r="CY6" s="371"/>
      <c r="CZ6" s="370"/>
      <c r="DA6" s="370"/>
      <c r="DB6" s="371"/>
      <c r="DC6" s="371"/>
      <c r="DD6" s="370"/>
      <c r="DE6" s="370"/>
      <c r="DF6" s="371"/>
      <c r="DG6" s="371"/>
      <c r="DH6" s="370"/>
      <c r="DI6" s="370"/>
      <c r="DJ6" s="371"/>
      <c r="DK6" s="371"/>
      <c r="DL6" s="370"/>
      <c r="DM6" s="370"/>
      <c r="DN6" s="371"/>
      <c r="DO6" s="371"/>
      <c r="DP6" s="370"/>
      <c r="DQ6" s="370"/>
      <c r="DR6" s="371"/>
      <c r="DS6" s="371"/>
      <c r="DT6" s="370"/>
      <c r="DU6" s="370"/>
      <c r="DV6" s="371"/>
      <c r="DW6" s="371"/>
      <c r="DX6" s="370"/>
      <c r="DY6" s="370"/>
      <c r="DZ6" s="371"/>
      <c r="EA6" s="371"/>
      <c r="EB6" s="370"/>
      <c r="EC6" s="370"/>
      <c r="ED6" s="371"/>
      <c r="EE6" s="371"/>
      <c r="EF6" s="370"/>
      <c r="EG6" s="370"/>
      <c r="EH6" s="371"/>
      <c r="EI6" s="371"/>
      <c r="EJ6" s="370"/>
      <c r="EK6" s="370"/>
      <c r="EL6" s="371"/>
      <c r="EM6" s="371"/>
      <c r="EN6" s="370"/>
      <c r="EO6" s="370"/>
      <c r="EP6" s="371"/>
      <c r="EQ6" s="371"/>
      <c r="ER6" s="370"/>
      <c r="ES6" s="370"/>
      <c r="ET6" s="371"/>
      <c r="EU6" s="371"/>
      <c r="EV6" s="370"/>
      <c r="EW6" s="370"/>
      <c r="EX6" s="371"/>
      <c r="EY6" s="371"/>
      <c r="EZ6" s="370"/>
      <c r="FA6" s="370"/>
      <c r="FB6" s="371"/>
      <c r="FC6" s="371"/>
      <c r="FD6" s="370"/>
      <c r="FE6" s="370"/>
      <c r="FF6" s="371"/>
      <c r="FG6" s="371"/>
      <c r="FH6" s="370"/>
      <c r="FI6" s="370"/>
      <c r="FJ6" s="371"/>
      <c r="FK6" s="371"/>
      <c r="FL6" s="370"/>
      <c r="FM6" s="370"/>
      <c r="FN6" s="371"/>
      <c r="FO6" s="371"/>
      <c r="FP6" s="370"/>
      <c r="FQ6" s="370"/>
      <c r="FR6" s="371"/>
      <c r="FS6" s="371"/>
      <c r="FT6" s="370"/>
      <c r="FU6" s="370"/>
      <c r="FV6" s="371"/>
      <c r="FW6" s="371"/>
      <c r="FX6" s="370"/>
      <c r="FY6" s="370"/>
      <c r="FZ6" s="371"/>
      <c r="GA6" s="371"/>
      <c r="GB6" s="370"/>
      <c r="GC6" s="370"/>
      <c r="GD6" s="371"/>
      <c r="GE6" s="371"/>
      <c r="GF6" s="370"/>
      <c r="GG6" s="370"/>
      <c r="GH6" s="371"/>
      <c r="GI6" s="371"/>
      <c r="GJ6" s="370"/>
      <c r="GK6" s="370"/>
      <c r="GL6" s="371"/>
      <c r="GM6" s="371"/>
      <c r="GN6" s="370"/>
      <c r="GO6" s="370"/>
      <c r="GP6" s="371"/>
      <c r="GQ6" s="371"/>
      <c r="GR6" s="370"/>
      <c r="GS6" s="370"/>
    </row>
    <row r="7">
      <c r="A7" s="365" t="s">
        <v>156</v>
      </c>
      <c r="B7" s="366"/>
      <c r="C7" s="366"/>
      <c r="D7" s="366"/>
      <c r="E7" s="366"/>
      <c r="F7" s="366"/>
      <c r="G7" s="366"/>
      <c r="H7" s="365"/>
      <c r="I7" s="365"/>
      <c r="J7" s="365"/>
      <c r="K7" s="365"/>
      <c r="L7" s="365"/>
      <c r="M7" s="365"/>
      <c r="N7" s="365"/>
      <c r="O7" s="365"/>
      <c r="P7" s="365"/>
      <c r="Q7" s="365"/>
      <c r="R7" s="365"/>
      <c r="S7" s="365"/>
      <c r="T7" s="365"/>
      <c r="U7" s="365"/>
      <c r="V7" s="365"/>
      <c r="W7" s="365"/>
      <c r="X7" s="365"/>
      <c r="Y7" s="365"/>
      <c r="Z7" s="365"/>
      <c r="AA7" s="365"/>
      <c r="AB7" s="365"/>
      <c r="AC7" s="365"/>
      <c r="AD7" s="365"/>
      <c r="AE7" s="365"/>
      <c r="AF7" s="365"/>
      <c r="AG7" s="365"/>
      <c r="AH7" s="365"/>
      <c r="AI7" s="365"/>
      <c r="AJ7" s="365"/>
      <c r="AK7" s="365"/>
      <c r="AL7" s="365"/>
      <c r="AM7" s="365"/>
      <c r="AN7" s="365"/>
      <c r="AO7" s="365"/>
      <c r="AP7" s="365"/>
      <c r="AQ7" s="365"/>
      <c r="AR7" s="365"/>
      <c r="AS7" s="365"/>
      <c r="AT7" s="365"/>
      <c r="AU7" s="365"/>
      <c r="AV7" s="365"/>
      <c r="AW7" s="365"/>
      <c r="AX7" s="365"/>
      <c r="AY7" s="365"/>
      <c r="AZ7" s="365"/>
      <c r="BA7" s="365"/>
      <c r="BB7" s="365"/>
      <c r="BC7" s="365"/>
      <c r="BD7" s="365"/>
      <c r="BE7" s="365"/>
      <c r="BF7" s="365"/>
      <c r="BG7" s="365"/>
      <c r="BH7" s="365"/>
      <c r="BI7" s="365"/>
      <c r="BJ7" s="365"/>
      <c r="BK7" s="365"/>
      <c r="BL7" s="365"/>
      <c r="BM7" s="365"/>
      <c r="BN7" s="365"/>
      <c r="BO7" s="365"/>
      <c r="BP7" s="365"/>
      <c r="BQ7" s="365"/>
      <c r="BR7" s="365"/>
      <c r="BS7" s="365"/>
      <c r="BT7" s="365"/>
      <c r="BU7" s="365"/>
      <c r="BV7" s="365"/>
      <c r="BW7" s="365"/>
      <c r="BX7" s="365"/>
      <c r="BY7" s="365"/>
      <c r="BZ7" s="365"/>
      <c r="CA7" s="365"/>
      <c r="CB7" s="365"/>
      <c r="CC7" s="365"/>
      <c r="CD7" s="365"/>
      <c r="CE7" s="365"/>
      <c r="CF7" s="365"/>
      <c r="CG7" s="365"/>
      <c r="CH7" s="365"/>
      <c r="CI7" s="365"/>
      <c r="CJ7" s="365"/>
      <c r="CK7" s="365"/>
      <c r="CL7" s="365"/>
      <c r="CM7" s="365"/>
      <c r="CN7" s="365"/>
      <c r="CO7" s="365"/>
      <c r="CP7" s="365"/>
      <c r="CQ7" s="365"/>
      <c r="CR7" s="365"/>
      <c r="CS7" s="365"/>
      <c r="CT7" s="365"/>
      <c r="CU7" s="365"/>
      <c r="CV7" s="365"/>
      <c r="CW7" s="365"/>
      <c r="CX7" s="365"/>
      <c r="CY7" s="365"/>
      <c r="CZ7" s="365"/>
      <c r="DA7" s="365"/>
      <c r="DB7" s="365"/>
      <c r="DC7" s="365"/>
      <c r="DD7" s="365"/>
      <c r="DE7" s="365"/>
      <c r="DF7" s="365"/>
      <c r="DG7" s="365"/>
      <c r="DH7" s="365"/>
      <c r="DI7" s="365"/>
      <c r="DJ7" s="365"/>
      <c r="DK7" s="365"/>
      <c r="DL7" s="365"/>
      <c r="DM7" s="365"/>
      <c r="DN7" s="365"/>
      <c r="DO7" s="365"/>
      <c r="DP7" s="365"/>
      <c r="DQ7" s="365"/>
      <c r="DR7" s="365"/>
      <c r="DS7" s="365"/>
      <c r="DT7" s="365"/>
      <c r="DU7" s="365"/>
      <c r="DV7" s="365"/>
      <c r="DW7" s="365"/>
      <c r="DX7" s="365"/>
      <c r="DY7" s="365"/>
      <c r="DZ7" s="365"/>
      <c r="EA7" s="365"/>
      <c r="EB7" s="365"/>
      <c r="EC7" s="365"/>
      <c r="ED7" s="365"/>
      <c r="EE7" s="365"/>
      <c r="EF7" s="365"/>
      <c r="EG7" s="365"/>
      <c r="EH7" s="365"/>
      <c r="EI7" s="365"/>
      <c r="EJ7" s="365"/>
      <c r="EK7" s="365"/>
      <c r="EL7" s="365"/>
      <c r="EM7" s="365"/>
      <c r="EN7" s="365"/>
      <c r="EO7" s="365"/>
      <c r="EP7" s="365"/>
      <c r="EQ7" s="365"/>
      <c r="ER7" s="365"/>
      <c r="ES7" s="365"/>
      <c r="ET7" s="365"/>
      <c r="EU7" s="365"/>
      <c r="EV7" s="365"/>
      <c r="EW7" s="365"/>
      <c r="EX7" s="365"/>
      <c r="EY7" s="365"/>
      <c r="EZ7" s="365"/>
      <c r="FA7" s="365"/>
      <c r="FB7" s="365"/>
      <c r="FC7" s="365"/>
      <c r="FD7" s="365"/>
      <c r="FE7" s="365"/>
      <c r="FF7" s="365"/>
      <c r="FG7" s="365"/>
      <c r="FH7" s="365"/>
      <c r="FI7" s="365"/>
      <c r="FJ7" s="365"/>
      <c r="FK7" s="365"/>
      <c r="FL7" s="365"/>
      <c r="FM7" s="365"/>
      <c r="FN7" s="365"/>
      <c r="FO7" s="365"/>
      <c r="FP7" s="365"/>
      <c r="FQ7" s="365"/>
      <c r="FR7" s="365"/>
      <c r="FS7" s="365"/>
      <c r="FT7" s="365"/>
      <c r="FU7" s="365"/>
      <c r="FV7" s="365"/>
      <c r="FW7" s="365"/>
      <c r="FX7" s="365"/>
      <c r="FY7" s="365"/>
      <c r="FZ7" s="365"/>
      <c r="GA7" s="365"/>
      <c r="GB7" s="365"/>
      <c r="GC7" s="365"/>
      <c r="GD7" s="365"/>
      <c r="GE7" s="365"/>
      <c r="GF7" s="365"/>
      <c r="GG7" s="365"/>
      <c r="GH7" s="365"/>
      <c r="GI7" s="365"/>
      <c r="GJ7" s="365"/>
      <c r="GK7" s="365"/>
      <c r="GL7" s="365"/>
      <c r="GM7" s="365"/>
      <c r="GN7" s="365"/>
      <c r="GO7" s="365"/>
      <c r="GP7" s="365"/>
      <c r="GQ7" s="365"/>
      <c r="GR7" s="365"/>
      <c r="GS7" s="365"/>
    </row>
    <row r="8">
      <c r="A8" s="367" t="s">
        <v>157</v>
      </c>
      <c r="B8" s="368"/>
      <c r="C8" s="368"/>
      <c r="D8" s="369"/>
      <c r="E8" s="369"/>
      <c r="F8" s="368"/>
      <c r="G8" s="368"/>
      <c r="H8" s="370"/>
      <c r="I8" s="370"/>
      <c r="J8" s="371"/>
      <c r="K8" s="371"/>
      <c r="L8" s="370"/>
      <c r="M8" s="370"/>
      <c r="N8" s="371"/>
      <c r="O8" s="371"/>
      <c r="P8" s="370"/>
      <c r="Q8" s="370"/>
      <c r="R8" s="371"/>
      <c r="S8" s="371"/>
      <c r="T8" s="370"/>
      <c r="U8" s="370"/>
      <c r="V8" s="371"/>
      <c r="W8" s="371"/>
      <c r="X8" s="370"/>
      <c r="Y8" s="370"/>
      <c r="Z8" s="371"/>
      <c r="AA8" s="371"/>
      <c r="AB8" s="370"/>
      <c r="AC8" s="370"/>
      <c r="AD8" s="371"/>
      <c r="AE8" s="371"/>
      <c r="AF8" s="370"/>
      <c r="AG8" s="370"/>
      <c r="AH8" s="371"/>
      <c r="AI8" s="371"/>
      <c r="AJ8" s="370"/>
      <c r="AK8" s="370"/>
      <c r="AL8" s="371"/>
      <c r="AM8" s="371"/>
      <c r="AN8" s="370"/>
      <c r="AO8" s="370"/>
      <c r="AP8" s="371"/>
      <c r="AQ8" s="371"/>
      <c r="AR8" s="370"/>
      <c r="AS8" s="370"/>
      <c r="AT8" s="371"/>
      <c r="AU8" s="371"/>
      <c r="AV8" s="370"/>
      <c r="AW8" s="370"/>
      <c r="AX8" s="371"/>
      <c r="AY8" s="371"/>
      <c r="AZ8" s="370"/>
      <c r="BA8" s="370"/>
      <c r="BB8" s="371"/>
      <c r="BC8" s="371"/>
      <c r="BD8" s="370"/>
      <c r="BE8" s="370"/>
      <c r="BF8" s="371"/>
      <c r="BG8" s="371"/>
      <c r="BH8" s="370"/>
      <c r="BI8" s="370"/>
      <c r="BJ8" s="371"/>
      <c r="BK8" s="371"/>
      <c r="BL8" s="370"/>
      <c r="BM8" s="370"/>
      <c r="BN8" s="371"/>
      <c r="BO8" s="371"/>
      <c r="BP8" s="370"/>
      <c r="BQ8" s="370"/>
      <c r="BR8" s="371"/>
      <c r="BS8" s="371"/>
      <c r="BT8" s="370"/>
      <c r="BU8" s="370"/>
      <c r="BV8" s="371"/>
      <c r="BW8" s="371"/>
      <c r="BX8" s="370"/>
      <c r="BY8" s="370"/>
      <c r="BZ8" s="371"/>
      <c r="CA8" s="371"/>
      <c r="CB8" s="370"/>
      <c r="CC8" s="370"/>
      <c r="CD8" s="371"/>
      <c r="CE8" s="371"/>
      <c r="CF8" s="370"/>
      <c r="CG8" s="370"/>
      <c r="CH8" s="371"/>
      <c r="CI8" s="371"/>
      <c r="CJ8" s="370"/>
      <c r="CK8" s="370"/>
      <c r="CL8" s="371"/>
      <c r="CM8" s="371"/>
      <c r="CN8" s="370"/>
      <c r="CO8" s="370"/>
      <c r="CP8" s="371"/>
      <c r="CQ8" s="371"/>
      <c r="CR8" s="370"/>
      <c r="CS8" s="370"/>
      <c r="CT8" s="371"/>
      <c r="CU8" s="371"/>
      <c r="CV8" s="370"/>
      <c r="CW8" s="370"/>
      <c r="CX8" s="371"/>
      <c r="CY8" s="371"/>
      <c r="CZ8" s="370"/>
      <c r="DA8" s="370"/>
      <c r="DB8" s="371"/>
      <c r="DC8" s="371"/>
      <c r="DD8" s="370"/>
      <c r="DE8" s="370"/>
      <c r="DF8" s="371"/>
      <c r="DG8" s="371"/>
      <c r="DH8" s="370"/>
      <c r="DI8" s="370"/>
      <c r="DJ8" s="371"/>
      <c r="DK8" s="371"/>
      <c r="DL8" s="370"/>
      <c r="DM8" s="370"/>
      <c r="DN8" s="371"/>
      <c r="DO8" s="371"/>
      <c r="DP8" s="370"/>
      <c r="DQ8" s="370"/>
      <c r="DR8" s="371"/>
      <c r="DS8" s="371"/>
      <c r="DT8" s="370"/>
      <c r="DU8" s="370"/>
      <c r="DV8" s="371"/>
      <c r="DW8" s="371"/>
      <c r="DX8" s="370"/>
      <c r="DY8" s="370"/>
      <c r="DZ8" s="371"/>
      <c r="EA8" s="371"/>
      <c r="EB8" s="370"/>
      <c r="EC8" s="370"/>
      <c r="ED8" s="371"/>
      <c r="EE8" s="371"/>
      <c r="EF8" s="370"/>
      <c r="EG8" s="370"/>
      <c r="EH8" s="371"/>
      <c r="EI8" s="371"/>
      <c r="EJ8" s="370"/>
      <c r="EK8" s="370"/>
      <c r="EL8" s="371"/>
      <c r="EM8" s="371"/>
      <c r="EN8" s="370"/>
      <c r="EO8" s="370"/>
      <c r="EP8" s="371"/>
      <c r="EQ8" s="371"/>
      <c r="ER8" s="370"/>
      <c r="ES8" s="370"/>
      <c r="ET8" s="371"/>
      <c r="EU8" s="371"/>
      <c r="EV8" s="370"/>
      <c r="EW8" s="370"/>
      <c r="EX8" s="371"/>
      <c r="EY8" s="371"/>
      <c r="EZ8" s="370"/>
      <c r="FA8" s="370"/>
      <c r="FB8" s="371"/>
      <c r="FC8" s="371"/>
      <c r="FD8" s="370"/>
      <c r="FE8" s="370"/>
      <c r="FF8" s="371"/>
      <c r="FG8" s="371"/>
      <c r="FH8" s="370"/>
      <c r="FI8" s="370"/>
      <c r="FJ8" s="371"/>
      <c r="FK8" s="371"/>
      <c r="FL8" s="370"/>
      <c r="FM8" s="370"/>
      <c r="FN8" s="371"/>
      <c r="FO8" s="371"/>
      <c r="FP8" s="370"/>
      <c r="FQ8" s="370"/>
      <c r="FR8" s="371"/>
      <c r="FS8" s="371"/>
      <c r="FT8" s="370"/>
      <c r="FU8" s="370"/>
      <c r="FV8" s="371"/>
      <c r="FW8" s="371"/>
      <c r="FX8" s="370"/>
      <c r="FY8" s="370"/>
      <c r="FZ8" s="371"/>
      <c r="GA8" s="371"/>
      <c r="GB8" s="370"/>
      <c r="GC8" s="370"/>
      <c r="GD8" s="371"/>
      <c r="GE8" s="371"/>
      <c r="GF8" s="370"/>
      <c r="GG8" s="370"/>
      <c r="GH8" s="371"/>
      <c r="GI8" s="371"/>
      <c r="GJ8" s="370"/>
      <c r="GK8" s="370"/>
      <c r="GL8" s="371"/>
      <c r="GM8" s="371"/>
      <c r="GN8" s="370"/>
      <c r="GO8" s="370"/>
      <c r="GP8" s="371"/>
      <c r="GQ8" s="371"/>
      <c r="GR8" s="370"/>
      <c r="GS8" s="370"/>
    </row>
    <row r="9">
      <c r="A9" s="367" t="s">
        <v>158</v>
      </c>
      <c r="B9" s="368"/>
      <c r="C9" s="368"/>
      <c r="D9" s="369"/>
      <c r="E9" s="369"/>
      <c r="F9" s="368"/>
      <c r="G9" s="368"/>
      <c r="H9" s="370"/>
      <c r="I9" s="370"/>
      <c r="J9" s="371"/>
      <c r="K9" s="371"/>
      <c r="L9" s="370"/>
      <c r="M9" s="370"/>
      <c r="N9" s="371"/>
      <c r="O9" s="371"/>
      <c r="P9" s="370"/>
      <c r="Q9" s="370"/>
      <c r="R9" s="371"/>
      <c r="S9" s="371"/>
      <c r="T9" s="370"/>
      <c r="U9" s="370"/>
      <c r="V9" s="371"/>
      <c r="W9" s="371"/>
      <c r="X9" s="370"/>
      <c r="Y9" s="370"/>
      <c r="Z9" s="371"/>
      <c r="AA9" s="371"/>
      <c r="AB9" s="370"/>
      <c r="AC9" s="370"/>
      <c r="AD9" s="371"/>
      <c r="AE9" s="371"/>
      <c r="AF9" s="370"/>
      <c r="AG9" s="370"/>
      <c r="AH9" s="371"/>
      <c r="AI9" s="371"/>
      <c r="AJ9" s="370"/>
      <c r="AK9" s="370"/>
      <c r="AL9" s="371"/>
      <c r="AM9" s="371"/>
      <c r="AN9" s="370"/>
      <c r="AO9" s="370"/>
      <c r="AP9" s="371"/>
      <c r="AQ9" s="371"/>
      <c r="AR9" s="370"/>
      <c r="AS9" s="370"/>
      <c r="AT9" s="371"/>
      <c r="AU9" s="371"/>
      <c r="AV9" s="370"/>
      <c r="AW9" s="370"/>
      <c r="AX9" s="371"/>
      <c r="AY9" s="371"/>
      <c r="AZ9" s="370"/>
      <c r="BA9" s="370"/>
      <c r="BB9" s="371"/>
      <c r="BC9" s="371"/>
      <c r="BD9" s="370"/>
      <c r="BE9" s="370"/>
      <c r="BF9" s="371"/>
      <c r="BG9" s="371"/>
      <c r="BH9" s="370"/>
      <c r="BI9" s="370"/>
      <c r="BJ9" s="371"/>
      <c r="BK9" s="371"/>
      <c r="BL9" s="370"/>
      <c r="BM9" s="370"/>
      <c r="BN9" s="371"/>
      <c r="BO9" s="371"/>
      <c r="BP9" s="370"/>
      <c r="BQ9" s="370"/>
      <c r="BR9" s="371"/>
      <c r="BS9" s="371"/>
      <c r="BT9" s="370"/>
      <c r="BU9" s="370"/>
      <c r="BV9" s="371"/>
      <c r="BW9" s="371"/>
      <c r="BX9" s="370"/>
      <c r="BY9" s="370"/>
      <c r="BZ9" s="371"/>
      <c r="CA9" s="371"/>
      <c r="CB9" s="370"/>
      <c r="CC9" s="370"/>
      <c r="CD9" s="371"/>
      <c r="CE9" s="371"/>
      <c r="CF9" s="370"/>
      <c r="CG9" s="370"/>
      <c r="CH9" s="371"/>
      <c r="CI9" s="371"/>
      <c r="CJ9" s="370"/>
      <c r="CK9" s="370"/>
      <c r="CL9" s="371"/>
      <c r="CM9" s="371"/>
      <c r="CN9" s="370"/>
      <c r="CO9" s="370"/>
      <c r="CP9" s="371"/>
      <c r="CQ9" s="371"/>
      <c r="CR9" s="370"/>
      <c r="CS9" s="370"/>
      <c r="CT9" s="371"/>
      <c r="CU9" s="371"/>
      <c r="CV9" s="370"/>
      <c r="CW9" s="370"/>
      <c r="CX9" s="371"/>
      <c r="CY9" s="371"/>
      <c r="CZ9" s="370"/>
      <c r="DA9" s="370"/>
      <c r="DB9" s="371"/>
      <c r="DC9" s="371"/>
      <c r="DD9" s="370"/>
      <c r="DE9" s="370"/>
      <c r="DF9" s="371"/>
      <c r="DG9" s="371"/>
      <c r="DH9" s="370"/>
      <c r="DI9" s="370"/>
      <c r="DJ9" s="371"/>
      <c r="DK9" s="371"/>
      <c r="DL9" s="370"/>
      <c r="DM9" s="370"/>
      <c r="DN9" s="371"/>
      <c r="DO9" s="371"/>
      <c r="DP9" s="370"/>
      <c r="DQ9" s="370"/>
      <c r="DR9" s="371"/>
      <c r="DS9" s="371"/>
      <c r="DT9" s="370"/>
      <c r="DU9" s="370"/>
      <c r="DV9" s="371"/>
      <c r="DW9" s="371"/>
      <c r="DX9" s="370"/>
      <c r="DY9" s="370"/>
      <c r="DZ9" s="371"/>
      <c r="EA9" s="371"/>
      <c r="EB9" s="370"/>
      <c r="EC9" s="370"/>
      <c r="ED9" s="371"/>
      <c r="EE9" s="371"/>
      <c r="EF9" s="370"/>
      <c r="EG9" s="370"/>
      <c r="EH9" s="371"/>
      <c r="EI9" s="371"/>
      <c r="EJ9" s="370"/>
      <c r="EK9" s="370"/>
      <c r="EL9" s="371"/>
      <c r="EM9" s="371"/>
      <c r="EN9" s="370"/>
      <c r="EO9" s="370"/>
      <c r="EP9" s="371"/>
      <c r="EQ9" s="371"/>
      <c r="ER9" s="370"/>
      <c r="ES9" s="370"/>
      <c r="ET9" s="371"/>
      <c r="EU9" s="371"/>
      <c r="EV9" s="370"/>
      <c r="EW9" s="370"/>
      <c r="EX9" s="371"/>
      <c r="EY9" s="371"/>
      <c r="EZ9" s="370"/>
      <c r="FA9" s="370"/>
      <c r="FB9" s="371"/>
      <c r="FC9" s="371"/>
      <c r="FD9" s="370"/>
      <c r="FE9" s="370"/>
      <c r="FF9" s="371"/>
      <c r="FG9" s="371"/>
      <c r="FH9" s="370"/>
      <c r="FI9" s="370"/>
      <c r="FJ9" s="371"/>
      <c r="FK9" s="371"/>
      <c r="FL9" s="370"/>
      <c r="FM9" s="370"/>
      <c r="FN9" s="371"/>
      <c r="FO9" s="371"/>
      <c r="FP9" s="370"/>
      <c r="FQ9" s="370"/>
      <c r="FR9" s="371"/>
      <c r="FS9" s="371"/>
      <c r="FT9" s="370"/>
      <c r="FU9" s="370"/>
      <c r="FV9" s="371"/>
      <c r="FW9" s="371"/>
      <c r="FX9" s="370"/>
      <c r="FY9" s="370"/>
      <c r="FZ9" s="371"/>
      <c r="GA9" s="371"/>
      <c r="GB9" s="370"/>
      <c r="GC9" s="370"/>
      <c r="GD9" s="371"/>
      <c r="GE9" s="371"/>
      <c r="GF9" s="370"/>
      <c r="GG9" s="370"/>
      <c r="GH9" s="371"/>
      <c r="GI9" s="371"/>
      <c r="GJ9" s="370"/>
      <c r="GK9" s="370"/>
      <c r="GL9" s="371"/>
      <c r="GM9" s="371"/>
      <c r="GN9" s="370"/>
      <c r="GO9" s="370"/>
      <c r="GP9" s="371"/>
      <c r="GQ9" s="371"/>
      <c r="GR9" s="370"/>
      <c r="GS9" s="370"/>
    </row>
    <row r="10">
      <c r="A10" s="367" t="s">
        <v>159</v>
      </c>
      <c r="B10" s="368"/>
      <c r="C10" s="368"/>
      <c r="D10" s="369"/>
      <c r="E10" s="369"/>
      <c r="F10" s="368"/>
      <c r="G10" s="368"/>
      <c r="H10" s="370"/>
      <c r="I10" s="370"/>
      <c r="J10" s="371"/>
      <c r="K10" s="371"/>
      <c r="L10" s="370"/>
      <c r="M10" s="370"/>
      <c r="N10" s="371"/>
      <c r="O10" s="371"/>
      <c r="P10" s="370"/>
      <c r="Q10" s="370"/>
      <c r="R10" s="371"/>
      <c r="S10" s="371"/>
      <c r="T10" s="370"/>
      <c r="U10" s="370"/>
      <c r="V10" s="371"/>
      <c r="W10" s="371"/>
      <c r="X10" s="370"/>
      <c r="Y10" s="370"/>
      <c r="Z10" s="371"/>
      <c r="AA10" s="371"/>
      <c r="AB10" s="370"/>
      <c r="AC10" s="370"/>
      <c r="AD10" s="371"/>
      <c r="AE10" s="371"/>
      <c r="AF10" s="370"/>
      <c r="AG10" s="370"/>
      <c r="AH10" s="371"/>
      <c r="AI10" s="371"/>
      <c r="AJ10" s="370"/>
      <c r="AK10" s="370"/>
      <c r="AL10" s="371"/>
      <c r="AM10" s="371"/>
      <c r="AN10" s="370"/>
      <c r="AO10" s="370"/>
      <c r="AP10" s="371"/>
      <c r="AQ10" s="371"/>
      <c r="AR10" s="370"/>
      <c r="AS10" s="370"/>
      <c r="AT10" s="371"/>
      <c r="AU10" s="371"/>
      <c r="AV10" s="370"/>
      <c r="AW10" s="370"/>
      <c r="AX10" s="371"/>
      <c r="AY10" s="371"/>
      <c r="AZ10" s="370"/>
      <c r="BA10" s="370"/>
      <c r="BB10" s="371"/>
      <c r="BC10" s="371"/>
      <c r="BD10" s="370"/>
      <c r="BE10" s="370"/>
      <c r="BF10" s="371"/>
      <c r="BG10" s="371"/>
      <c r="BH10" s="370"/>
      <c r="BI10" s="370"/>
      <c r="BJ10" s="371"/>
      <c r="BK10" s="371"/>
      <c r="BL10" s="370"/>
      <c r="BM10" s="370"/>
      <c r="BN10" s="371"/>
      <c r="BO10" s="371"/>
      <c r="BP10" s="370"/>
      <c r="BQ10" s="370"/>
      <c r="BR10" s="371"/>
      <c r="BS10" s="371"/>
      <c r="BT10" s="370"/>
      <c r="BU10" s="370"/>
      <c r="BV10" s="371"/>
      <c r="BW10" s="371"/>
      <c r="BX10" s="370"/>
      <c r="BY10" s="370"/>
      <c r="BZ10" s="371"/>
      <c r="CA10" s="371"/>
      <c r="CB10" s="370"/>
      <c r="CC10" s="370"/>
      <c r="CD10" s="371"/>
      <c r="CE10" s="371"/>
      <c r="CF10" s="370"/>
      <c r="CG10" s="370"/>
      <c r="CH10" s="371"/>
      <c r="CI10" s="371"/>
      <c r="CJ10" s="370"/>
      <c r="CK10" s="370"/>
      <c r="CL10" s="371"/>
      <c r="CM10" s="371"/>
      <c r="CN10" s="370"/>
      <c r="CO10" s="370"/>
      <c r="CP10" s="371"/>
      <c r="CQ10" s="371"/>
      <c r="CR10" s="370"/>
      <c r="CS10" s="370"/>
      <c r="CT10" s="371"/>
      <c r="CU10" s="371"/>
      <c r="CV10" s="370"/>
      <c r="CW10" s="370"/>
      <c r="CX10" s="371"/>
      <c r="CY10" s="371"/>
      <c r="CZ10" s="370"/>
      <c r="DA10" s="370"/>
      <c r="DB10" s="371"/>
      <c r="DC10" s="371"/>
      <c r="DD10" s="370"/>
      <c r="DE10" s="370"/>
      <c r="DF10" s="371"/>
      <c r="DG10" s="371"/>
      <c r="DH10" s="370"/>
      <c r="DI10" s="370"/>
      <c r="DJ10" s="371"/>
      <c r="DK10" s="371"/>
      <c r="DL10" s="370"/>
      <c r="DM10" s="370"/>
      <c r="DN10" s="371"/>
      <c r="DO10" s="371"/>
      <c r="DP10" s="370"/>
      <c r="DQ10" s="370"/>
      <c r="DR10" s="371"/>
      <c r="DS10" s="371"/>
      <c r="DT10" s="370"/>
      <c r="DU10" s="370"/>
      <c r="DV10" s="371"/>
      <c r="DW10" s="371"/>
      <c r="DX10" s="370"/>
      <c r="DY10" s="370"/>
      <c r="DZ10" s="371"/>
      <c r="EA10" s="371"/>
      <c r="EB10" s="370"/>
      <c r="EC10" s="370"/>
      <c r="ED10" s="371"/>
      <c r="EE10" s="371"/>
      <c r="EF10" s="370"/>
      <c r="EG10" s="370"/>
      <c r="EH10" s="371"/>
      <c r="EI10" s="371"/>
      <c r="EJ10" s="370"/>
      <c r="EK10" s="370"/>
      <c r="EL10" s="371"/>
      <c r="EM10" s="371"/>
      <c r="EN10" s="370"/>
      <c r="EO10" s="370"/>
      <c r="EP10" s="371"/>
      <c r="EQ10" s="371"/>
      <c r="ER10" s="370"/>
      <c r="ES10" s="370"/>
      <c r="ET10" s="371"/>
      <c r="EU10" s="371"/>
      <c r="EV10" s="370"/>
      <c r="EW10" s="370"/>
      <c r="EX10" s="371"/>
      <c r="EY10" s="371"/>
      <c r="EZ10" s="370"/>
      <c r="FA10" s="370"/>
      <c r="FB10" s="371"/>
      <c r="FC10" s="371"/>
      <c r="FD10" s="370"/>
      <c r="FE10" s="370"/>
      <c r="FF10" s="371"/>
      <c r="FG10" s="371"/>
      <c r="FH10" s="370"/>
      <c r="FI10" s="370"/>
      <c r="FJ10" s="371"/>
      <c r="FK10" s="371"/>
      <c r="FL10" s="370"/>
      <c r="FM10" s="370"/>
      <c r="FN10" s="371"/>
      <c r="FO10" s="371"/>
      <c r="FP10" s="370"/>
      <c r="FQ10" s="370"/>
      <c r="FR10" s="371"/>
      <c r="FS10" s="371"/>
      <c r="FT10" s="370"/>
      <c r="FU10" s="370"/>
      <c r="FV10" s="371"/>
      <c r="FW10" s="371"/>
      <c r="FX10" s="370"/>
      <c r="FY10" s="370"/>
      <c r="FZ10" s="371"/>
      <c r="GA10" s="371"/>
      <c r="GB10" s="370"/>
      <c r="GC10" s="370"/>
      <c r="GD10" s="371"/>
      <c r="GE10" s="371"/>
      <c r="GF10" s="370"/>
      <c r="GG10" s="370"/>
      <c r="GH10" s="371"/>
      <c r="GI10" s="371"/>
      <c r="GJ10" s="370"/>
      <c r="GK10" s="370"/>
      <c r="GL10" s="371"/>
      <c r="GM10" s="371"/>
      <c r="GN10" s="370"/>
      <c r="GO10" s="370"/>
      <c r="GP10" s="371"/>
      <c r="GQ10" s="371"/>
      <c r="GR10" s="370"/>
      <c r="GS10" s="370"/>
    </row>
    <row r="11">
      <c r="A11" s="367" t="s">
        <v>160</v>
      </c>
      <c r="B11" s="368"/>
      <c r="C11" s="368"/>
      <c r="D11" s="369"/>
      <c r="E11" s="369"/>
      <c r="F11" s="368"/>
      <c r="G11" s="368"/>
      <c r="H11" s="370"/>
      <c r="I11" s="370"/>
      <c r="J11" s="371"/>
      <c r="K11" s="371"/>
      <c r="L11" s="370"/>
      <c r="M11" s="370"/>
      <c r="N11" s="371"/>
      <c r="O11" s="371"/>
      <c r="P11" s="370"/>
      <c r="Q11" s="370"/>
      <c r="R11" s="371"/>
      <c r="S11" s="371"/>
      <c r="T11" s="370"/>
      <c r="U11" s="370"/>
      <c r="V11" s="371"/>
      <c r="W11" s="371"/>
      <c r="X11" s="370"/>
      <c r="Y11" s="370"/>
      <c r="Z11" s="371"/>
      <c r="AA11" s="371"/>
      <c r="AB11" s="370"/>
      <c r="AC11" s="370"/>
      <c r="AD11" s="371"/>
      <c r="AE11" s="371"/>
      <c r="AF11" s="370"/>
      <c r="AG11" s="370"/>
      <c r="AH11" s="371"/>
      <c r="AI11" s="371"/>
      <c r="AJ11" s="370"/>
      <c r="AK11" s="370"/>
      <c r="AL11" s="371"/>
      <c r="AM11" s="371"/>
      <c r="AN11" s="370"/>
      <c r="AO11" s="370"/>
      <c r="AP11" s="371"/>
      <c r="AQ11" s="371"/>
      <c r="AR11" s="370"/>
      <c r="AS11" s="370"/>
      <c r="AT11" s="371"/>
      <c r="AU11" s="371"/>
      <c r="AV11" s="370"/>
      <c r="AW11" s="370"/>
      <c r="AX11" s="371"/>
      <c r="AY11" s="371"/>
      <c r="AZ11" s="370"/>
      <c r="BA11" s="370"/>
      <c r="BB11" s="371"/>
      <c r="BC11" s="371"/>
      <c r="BD11" s="370"/>
      <c r="BE11" s="370"/>
      <c r="BF11" s="371"/>
      <c r="BG11" s="371"/>
      <c r="BH11" s="370"/>
      <c r="BI11" s="370"/>
      <c r="BJ11" s="371"/>
      <c r="BK11" s="371"/>
      <c r="BL11" s="370"/>
      <c r="BM11" s="370"/>
      <c r="BN11" s="371"/>
      <c r="BO11" s="371"/>
      <c r="BP11" s="370"/>
      <c r="BQ11" s="370"/>
      <c r="BR11" s="371"/>
      <c r="BS11" s="371"/>
      <c r="BT11" s="370"/>
      <c r="BU11" s="370"/>
      <c r="BV11" s="371"/>
      <c r="BW11" s="371"/>
      <c r="BX11" s="370"/>
      <c r="BY11" s="370"/>
      <c r="BZ11" s="371"/>
      <c r="CA11" s="371"/>
      <c r="CB11" s="370"/>
      <c r="CC11" s="370"/>
      <c r="CD11" s="371"/>
      <c r="CE11" s="371"/>
      <c r="CF11" s="370"/>
      <c r="CG11" s="370"/>
      <c r="CH11" s="371"/>
      <c r="CI11" s="371"/>
      <c r="CJ11" s="370"/>
      <c r="CK11" s="370"/>
      <c r="CL11" s="371"/>
      <c r="CM11" s="371"/>
      <c r="CN11" s="370"/>
      <c r="CO11" s="370"/>
      <c r="CP11" s="371"/>
      <c r="CQ11" s="371"/>
      <c r="CR11" s="370"/>
      <c r="CS11" s="370"/>
      <c r="CT11" s="371"/>
      <c r="CU11" s="371"/>
      <c r="CV11" s="370"/>
      <c r="CW11" s="370"/>
      <c r="CX11" s="371"/>
      <c r="CY11" s="371"/>
      <c r="CZ11" s="370"/>
      <c r="DA11" s="370"/>
      <c r="DB11" s="371"/>
      <c r="DC11" s="371"/>
      <c r="DD11" s="370"/>
      <c r="DE11" s="370"/>
      <c r="DF11" s="371"/>
      <c r="DG11" s="371"/>
      <c r="DH11" s="370"/>
      <c r="DI11" s="370"/>
      <c r="DJ11" s="371"/>
      <c r="DK11" s="371"/>
      <c r="DL11" s="370"/>
      <c r="DM11" s="370"/>
      <c r="DN11" s="371"/>
      <c r="DO11" s="371"/>
      <c r="DP11" s="370"/>
      <c r="DQ11" s="370"/>
      <c r="DR11" s="371"/>
      <c r="DS11" s="371"/>
      <c r="DT11" s="370"/>
      <c r="DU11" s="370"/>
      <c r="DV11" s="371"/>
      <c r="DW11" s="371"/>
      <c r="DX11" s="370"/>
      <c r="DY11" s="370"/>
      <c r="DZ11" s="371"/>
      <c r="EA11" s="371"/>
      <c r="EB11" s="370"/>
      <c r="EC11" s="370"/>
      <c r="ED11" s="371"/>
      <c r="EE11" s="371"/>
      <c r="EF11" s="370"/>
      <c r="EG11" s="370"/>
      <c r="EH11" s="371"/>
      <c r="EI11" s="371"/>
      <c r="EJ11" s="370"/>
      <c r="EK11" s="370"/>
      <c r="EL11" s="371"/>
      <c r="EM11" s="371"/>
      <c r="EN11" s="370"/>
      <c r="EO11" s="370"/>
      <c r="EP11" s="371"/>
      <c r="EQ11" s="371"/>
      <c r="ER11" s="370"/>
      <c r="ES11" s="370"/>
      <c r="ET11" s="371"/>
      <c r="EU11" s="371"/>
      <c r="EV11" s="370"/>
      <c r="EW11" s="370"/>
      <c r="EX11" s="371"/>
      <c r="EY11" s="371"/>
      <c r="EZ11" s="370"/>
      <c r="FA11" s="370"/>
      <c r="FB11" s="371"/>
      <c r="FC11" s="371"/>
      <c r="FD11" s="370"/>
      <c r="FE11" s="370"/>
      <c r="FF11" s="371"/>
      <c r="FG11" s="371"/>
      <c r="FH11" s="370"/>
      <c r="FI11" s="370"/>
      <c r="FJ11" s="371"/>
      <c r="FK11" s="371"/>
      <c r="FL11" s="370"/>
      <c r="FM11" s="370"/>
      <c r="FN11" s="371"/>
      <c r="FO11" s="371"/>
      <c r="FP11" s="370"/>
      <c r="FQ11" s="370"/>
      <c r="FR11" s="371"/>
      <c r="FS11" s="371"/>
      <c r="FT11" s="370"/>
      <c r="FU11" s="370"/>
      <c r="FV11" s="371"/>
      <c r="FW11" s="371"/>
      <c r="FX11" s="370"/>
      <c r="FY11" s="370"/>
      <c r="FZ11" s="371"/>
      <c r="GA11" s="371"/>
      <c r="GB11" s="370"/>
      <c r="GC11" s="370"/>
      <c r="GD11" s="371"/>
      <c r="GE11" s="371"/>
      <c r="GF11" s="370"/>
      <c r="GG11" s="370"/>
      <c r="GH11" s="371"/>
      <c r="GI11" s="371"/>
      <c r="GJ11" s="370"/>
      <c r="GK11" s="370"/>
      <c r="GL11" s="371"/>
      <c r="GM11" s="371"/>
      <c r="GN11" s="370"/>
      <c r="GO11" s="370"/>
      <c r="GP11" s="371"/>
      <c r="GQ11" s="373"/>
      <c r="GR11" s="374"/>
      <c r="GS11" s="374"/>
    </row>
    <row r="12">
      <c r="A12" s="365" t="s">
        <v>161</v>
      </c>
      <c r="B12" s="366"/>
      <c r="C12" s="366"/>
      <c r="D12" s="366"/>
      <c r="E12" s="366"/>
      <c r="F12" s="366"/>
      <c r="G12" s="366"/>
      <c r="H12" s="365"/>
      <c r="I12" s="365"/>
      <c r="J12" s="365"/>
      <c r="K12" s="365"/>
      <c r="L12" s="365"/>
      <c r="M12" s="365"/>
      <c r="N12" s="365"/>
      <c r="O12" s="365"/>
      <c r="P12" s="365"/>
      <c r="Q12" s="365"/>
      <c r="R12" s="365"/>
      <c r="S12" s="365"/>
      <c r="T12" s="365"/>
      <c r="U12" s="365"/>
      <c r="V12" s="365"/>
      <c r="W12" s="365"/>
      <c r="X12" s="365"/>
      <c r="Y12" s="365"/>
      <c r="Z12" s="365"/>
      <c r="AA12" s="365"/>
      <c r="AB12" s="365"/>
      <c r="AC12" s="365"/>
      <c r="AD12" s="365"/>
      <c r="AE12" s="365"/>
      <c r="AF12" s="365"/>
      <c r="AG12" s="365"/>
      <c r="AH12" s="365"/>
      <c r="AI12" s="365"/>
      <c r="AJ12" s="365"/>
      <c r="AK12" s="365"/>
      <c r="AL12" s="365"/>
      <c r="AM12" s="365"/>
      <c r="AN12" s="365"/>
      <c r="AO12" s="365"/>
      <c r="AP12" s="365"/>
      <c r="AQ12" s="365"/>
      <c r="AR12" s="365"/>
      <c r="AS12" s="365"/>
      <c r="AT12" s="365"/>
      <c r="AU12" s="365"/>
      <c r="AV12" s="365"/>
      <c r="AW12" s="365"/>
      <c r="AX12" s="365"/>
      <c r="AY12" s="365"/>
      <c r="AZ12" s="365"/>
      <c r="BA12" s="365"/>
      <c r="BB12" s="365"/>
      <c r="BC12" s="365"/>
      <c r="BD12" s="365"/>
      <c r="BE12" s="365"/>
      <c r="BF12" s="365"/>
      <c r="BG12" s="365"/>
      <c r="BH12" s="365"/>
      <c r="BI12" s="365"/>
      <c r="BJ12" s="365"/>
      <c r="BK12" s="365"/>
      <c r="BL12" s="365"/>
      <c r="BM12" s="365"/>
      <c r="BN12" s="365"/>
      <c r="BO12" s="365"/>
      <c r="BP12" s="365"/>
      <c r="BQ12" s="365"/>
      <c r="BR12" s="365"/>
      <c r="BS12" s="365"/>
      <c r="BT12" s="365"/>
      <c r="BU12" s="365"/>
      <c r="BV12" s="365"/>
      <c r="BW12" s="365"/>
      <c r="BX12" s="365"/>
      <c r="BY12" s="365"/>
      <c r="BZ12" s="365"/>
      <c r="CA12" s="365"/>
      <c r="CB12" s="365"/>
      <c r="CC12" s="365"/>
      <c r="CD12" s="365"/>
      <c r="CE12" s="365"/>
      <c r="CF12" s="365"/>
      <c r="CG12" s="365"/>
      <c r="CH12" s="365"/>
      <c r="CI12" s="365"/>
      <c r="CJ12" s="365"/>
      <c r="CK12" s="365"/>
      <c r="CL12" s="365"/>
      <c r="CM12" s="365"/>
      <c r="CN12" s="365"/>
      <c r="CO12" s="365"/>
      <c r="CP12" s="365"/>
      <c r="CQ12" s="365"/>
      <c r="CR12" s="365"/>
      <c r="CS12" s="365"/>
      <c r="CT12" s="365"/>
      <c r="CU12" s="365"/>
      <c r="CV12" s="365"/>
      <c r="CW12" s="365"/>
      <c r="CX12" s="365"/>
      <c r="CY12" s="365"/>
      <c r="CZ12" s="365"/>
      <c r="DA12" s="365"/>
      <c r="DB12" s="365"/>
      <c r="DC12" s="365"/>
      <c r="DD12" s="365"/>
      <c r="DE12" s="365"/>
      <c r="DF12" s="365"/>
      <c r="DG12" s="365"/>
      <c r="DH12" s="365"/>
      <c r="DI12" s="365"/>
      <c r="DJ12" s="365"/>
      <c r="DK12" s="365"/>
      <c r="DL12" s="365"/>
      <c r="DM12" s="365"/>
      <c r="DN12" s="365"/>
      <c r="DO12" s="365"/>
      <c r="DP12" s="365"/>
      <c r="DQ12" s="365"/>
      <c r="DR12" s="365"/>
      <c r="DS12" s="365"/>
      <c r="DT12" s="365"/>
      <c r="DU12" s="365"/>
      <c r="DV12" s="365"/>
      <c r="DW12" s="365"/>
      <c r="DX12" s="365"/>
      <c r="DY12" s="365"/>
      <c r="DZ12" s="365"/>
      <c r="EA12" s="365"/>
      <c r="EB12" s="365"/>
      <c r="EC12" s="365"/>
      <c r="ED12" s="365"/>
      <c r="EE12" s="365"/>
      <c r="EF12" s="365"/>
      <c r="EG12" s="365"/>
      <c r="EH12" s="365"/>
      <c r="EI12" s="365"/>
      <c r="EJ12" s="365"/>
      <c r="EK12" s="365"/>
      <c r="EL12" s="365"/>
      <c r="EM12" s="365"/>
      <c r="EN12" s="365"/>
      <c r="EO12" s="365"/>
      <c r="EP12" s="365"/>
      <c r="EQ12" s="365"/>
      <c r="ER12" s="365"/>
      <c r="ES12" s="365"/>
      <c r="ET12" s="365"/>
      <c r="EU12" s="365"/>
      <c r="EV12" s="365"/>
      <c r="EW12" s="365"/>
      <c r="EX12" s="365"/>
      <c r="EY12" s="365"/>
      <c r="EZ12" s="365"/>
      <c r="FA12" s="365"/>
      <c r="FB12" s="365"/>
      <c r="FC12" s="365"/>
      <c r="FD12" s="365"/>
      <c r="FE12" s="365"/>
      <c r="FF12" s="365"/>
      <c r="FG12" s="365"/>
      <c r="FH12" s="365"/>
      <c r="FI12" s="365"/>
      <c r="FJ12" s="365"/>
      <c r="FK12" s="365"/>
      <c r="FL12" s="365"/>
      <c r="FM12" s="365"/>
      <c r="FN12" s="365"/>
      <c r="FO12" s="365"/>
      <c r="FP12" s="365"/>
      <c r="FQ12" s="365"/>
      <c r="FR12" s="365"/>
      <c r="FS12" s="365"/>
      <c r="FT12" s="365"/>
      <c r="FU12" s="365"/>
      <c r="FV12" s="365"/>
      <c r="FW12" s="365"/>
      <c r="FX12" s="365"/>
      <c r="FY12" s="365"/>
      <c r="FZ12" s="365"/>
      <c r="GA12" s="365"/>
      <c r="GB12" s="365"/>
      <c r="GC12" s="365"/>
      <c r="GD12" s="365"/>
      <c r="GE12" s="365"/>
      <c r="GF12" s="365"/>
      <c r="GG12" s="365"/>
      <c r="GH12" s="365"/>
      <c r="GI12" s="365"/>
      <c r="GJ12" s="365"/>
      <c r="GK12" s="365"/>
      <c r="GL12" s="365"/>
      <c r="GM12" s="365"/>
      <c r="GN12" s="365"/>
      <c r="GO12" s="365"/>
      <c r="GP12" s="365"/>
      <c r="GQ12" s="365"/>
      <c r="GR12" s="365"/>
      <c r="GS12" s="365"/>
    </row>
    <row r="13">
      <c r="A13" s="367" t="s">
        <v>162</v>
      </c>
      <c r="B13" s="368"/>
      <c r="C13" s="368"/>
      <c r="D13" s="369"/>
      <c r="E13" s="369"/>
      <c r="F13" s="368"/>
      <c r="G13" s="368"/>
      <c r="H13" s="370"/>
      <c r="I13" s="370"/>
      <c r="J13" s="371"/>
      <c r="K13" s="371"/>
      <c r="L13" s="370"/>
      <c r="M13" s="370"/>
      <c r="N13" s="371"/>
      <c r="O13" s="371"/>
      <c r="P13" s="370"/>
      <c r="Q13" s="370"/>
      <c r="R13" s="371"/>
      <c r="S13" s="371"/>
      <c r="T13" s="370"/>
      <c r="U13" s="370"/>
      <c r="V13" s="371"/>
      <c r="W13" s="371"/>
      <c r="X13" s="370"/>
      <c r="Y13" s="370"/>
      <c r="Z13" s="371"/>
      <c r="AA13" s="371"/>
      <c r="AB13" s="370"/>
      <c r="AC13" s="370"/>
      <c r="AD13" s="371"/>
      <c r="AE13" s="371"/>
      <c r="AF13" s="370"/>
      <c r="AG13" s="370"/>
      <c r="AH13" s="371"/>
      <c r="AI13" s="371"/>
      <c r="AJ13" s="370"/>
      <c r="AK13" s="370"/>
      <c r="AL13" s="371"/>
      <c r="AM13" s="371"/>
      <c r="AN13" s="370"/>
      <c r="AO13" s="370"/>
      <c r="AP13" s="371"/>
      <c r="AQ13" s="371"/>
      <c r="AR13" s="370"/>
      <c r="AS13" s="370"/>
      <c r="AT13" s="371"/>
      <c r="AU13" s="371"/>
      <c r="AV13" s="370"/>
      <c r="AW13" s="370"/>
      <c r="AX13" s="371"/>
      <c r="AY13" s="371"/>
      <c r="AZ13" s="370"/>
      <c r="BA13" s="370"/>
      <c r="BB13" s="371"/>
      <c r="BC13" s="371"/>
      <c r="BD13" s="370"/>
      <c r="BE13" s="370"/>
      <c r="BF13" s="371"/>
      <c r="BG13" s="371"/>
      <c r="BH13" s="370"/>
      <c r="BI13" s="370"/>
      <c r="BJ13" s="371"/>
      <c r="BK13" s="371"/>
      <c r="BL13" s="370"/>
      <c r="BM13" s="370"/>
      <c r="BN13" s="371"/>
      <c r="BO13" s="371"/>
      <c r="BP13" s="370"/>
      <c r="BQ13" s="370"/>
      <c r="BR13" s="371"/>
      <c r="BS13" s="371"/>
      <c r="BT13" s="370"/>
      <c r="BU13" s="370"/>
      <c r="BV13" s="371"/>
      <c r="BW13" s="371"/>
      <c r="BX13" s="370"/>
      <c r="BY13" s="370"/>
      <c r="BZ13" s="371"/>
      <c r="CA13" s="371"/>
      <c r="CB13" s="370"/>
      <c r="CC13" s="370"/>
      <c r="CD13" s="371"/>
      <c r="CE13" s="371"/>
      <c r="CF13" s="370"/>
      <c r="CG13" s="370"/>
      <c r="CH13" s="371"/>
      <c r="CI13" s="371"/>
      <c r="CJ13" s="370"/>
      <c r="CK13" s="370"/>
      <c r="CL13" s="371"/>
      <c r="CM13" s="371"/>
      <c r="CN13" s="370"/>
      <c r="CO13" s="370"/>
      <c r="CP13" s="371"/>
      <c r="CQ13" s="371"/>
      <c r="CR13" s="370"/>
      <c r="CS13" s="370"/>
      <c r="CT13" s="371"/>
      <c r="CU13" s="371"/>
      <c r="CV13" s="370"/>
      <c r="CW13" s="370"/>
      <c r="CX13" s="371"/>
      <c r="CY13" s="371"/>
      <c r="CZ13" s="370"/>
      <c r="DA13" s="370"/>
      <c r="DB13" s="371"/>
      <c r="DC13" s="371"/>
      <c r="DD13" s="370"/>
      <c r="DE13" s="370"/>
      <c r="DF13" s="371"/>
      <c r="DG13" s="371"/>
      <c r="DH13" s="370"/>
      <c r="DI13" s="370"/>
      <c r="DJ13" s="371"/>
      <c r="DK13" s="371"/>
      <c r="DL13" s="370"/>
      <c r="DM13" s="370"/>
      <c r="DN13" s="371"/>
      <c r="DO13" s="371"/>
      <c r="DP13" s="370"/>
      <c r="DQ13" s="370"/>
      <c r="DR13" s="371"/>
      <c r="DS13" s="371"/>
      <c r="DT13" s="370"/>
      <c r="DU13" s="370"/>
      <c r="DV13" s="371"/>
      <c r="DW13" s="371"/>
      <c r="DX13" s="370"/>
      <c r="DY13" s="370"/>
      <c r="DZ13" s="371"/>
      <c r="EA13" s="371"/>
      <c r="EB13" s="370"/>
      <c r="EC13" s="370"/>
      <c r="ED13" s="371"/>
      <c r="EE13" s="371"/>
      <c r="EF13" s="370"/>
      <c r="EG13" s="370"/>
      <c r="EH13" s="371"/>
      <c r="EI13" s="371"/>
      <c r="EJ13" s="370"/>
      <c r="EK13" s="370"/>
      <c r="EL13" s="371"/>
      <c r="EM13" s="371"/>
      <c r="EN13" s="370"/>
      <c r="EO13" s="370"/>
      <c r="EP13" s="371"/>
      <c r="EQ13" s="371"/>
      <c r="ER13" s="370"/>
      <c r="ES13" s="370"/>
      <c r="ET13" s="371"/>
      <c r="EU13" s="371"/>
      <c r="EV13" s="370"/>
      <c r="EW13" s="370"/>
      <c r="EX13" s="371"/>
      <c r="EY13" s="371"/>
      <c r="EZ13" s="370"/>
      <c r="FA13" s="370"/>
      <c r="FB13" s="371"/>
      <c r="FC13" s="371"/>
      <c r="FD13" s="370"/>
      <c r="FE13" s="370"/>
      <c r="FF13" s="371"/>
      <c r="FG13" s="371"/>
      <c r="FH13" s="370"/>
      <c r="FI13" s="370"/>
      <c r="FJ13" s="371"/>
      <c r="FK13" s="371"/>
      <c r="FL13" s="370"/>
      <c r="FM13" s="370"/>
      <c r="FN13" s="371"/>
      <c r="FO13" s="371"/>
      <c r="FP13" s="370"/>
      <c r="FQ13" s="370"/>
      <c r="FR13" s="371"/>
      <c r="FS13" s="371"/>
      <c r="FT13" s="370"/>
      <c r="FU13" s="370"/>
      <c r="FV13" s="371"/>
      <c r="FW13" s="371"/>
      <c r="FX13" s="370"/>
      <c r="FY13" s="370"/>
      <c r="FZ13" s="371"/>
      <c r="GA13" s="371"/>
      <c r="GB13" s="370"/>
      <c r="GC13" s="370"/>
      <c r="GD13" s="371"/>
      <c r="GE13" s="371"/>
      <c r="GF13" s="370"/>
      <c r="GG13" s="370"/>
      <c r="GH13" s="371"/>
      <c r="GI13" s="371"/>
      <c r="GJ13" s="370"/>
      <c r="GK13" s="370"/>
      <c r="GL13" s="371"/>
      <c r="GM13" s="371"/>
      <c r="GN13" s="370"/>
      <c r="GO13" s="370"/>
      <c r="GP13" s="371"/>
      <c r="GQ13" s="371"/>
      <c r="GR13" s="370"/>
      <c r="GS13" s="370"/>
    </row>
    <row r="14">
      <c r="A14" s="367" t="s">
        <v>163</v>
      </c>
      <c r="B14" s="368"/>
      <c r="C14" s="368"/>
      <c r="D14" s="369"/>
      <c r="E14" s="369"/>
      <c r="F14" s="368"/>
      <c r="G14" s="368"/>
      <c r="H14" s="370"/>
      <c r="I14" s="370"/>
      <c r="J14" s="371"/>
      <c r="K14" s="371"/>
      <c r="L14" s="370"/>
      <c r="M14" s="370"/>
      <c r="N14" s="371"/>
      <c r="O14" s="371"/>
      <c r="P14" s="370"/>
      <c r="Q14" s="370"/>
      <c r="R14" s="371"/>
      <c r="S14" s="371"/>
      <c r="T14" s="370"/>
      <c r="U14" s="370"/>
      <c r="V14" s="371"/>
      <c r="W14" s="371"/>
      <c r="X14" s="370"/>
      <c r="Y14" s="370"/>
      <c r="Z14" s="371"/>
      <c r="AA14" s="371"/>
      <c r="AB14" s="370"/>
      <c r="AC14" s="370"/>
      <c r="AD14" s="371"/>
      <c r="AE14" s="371"/>
      <c r="AF14" s="370"/>
      <c r="AG14" s="370"/>
      <c r="AH14" s="371"/>
      <c r="AI14" s="371"/>
      <c r="AJ14" s="370"/>
      <c r="AK14" s="370"/>
      <c r="AL14" s="371"/>
      <c r="AM14" s="371"/>
      <c r="AN14" s="370"/>
      <c r="AO14" s="370"/>
      <c r="AP14" s="371"/>
      <c r="AQ14" s="371"/>
      <c r="AR14" s="370"/>
      <c r="AS14" s="370"/>
      <c r="AT14" s="371"/>
      <c r="AU14" s="371"/>
      <c r="AV14" s="370"/>
      <c r="AW14" s="370"/>
      <c r="AX14" s="371"/>
      <c r="AY14" s="371"/>
      <c r="AZ14" s="370"/>
      <c r="BA14" s="370"/>
      <c r="BB14" s="371"/>
      <c r="BC14" s="371"/>
      <c r="BD14" s="370"/>
      <c r="BE14" s="370"/>
      <c r="BF14" s="371"/>
      <c r="BG14" s="371"/>
      <c r="BH14" s="370"/>
      <c r="BI14" s="370"/>
      <c r="BJ14" s="371"/>
      <c r="BK14" s="371"/>
      <c r="BL14" s="370"/>
      <c r="BM14" s="370"/>
      <c r="BN14" s="371"/>
      <c r="BO14" s="371"/>
      <c r="BP14" s="370"/>
      <c r="BQ14" s="370"/>
      <c r="BR14" s="371"/>
      <c r="BS14" s="371"/>
      <c r="BT14" s="370"/>
      <c r="BU14" s="370"/>
      <c r="BV14" s="371"/>
      <c r="BW14" s="371"/>
      <c r="BX14" s="370"/>
      <c r="BY14" s="370"/>
      <c r="BZ14" s="371"/>
      <c r="CA14" s="371"/>
      <c r="CB14" s="370"/>
      <c r="CC14" s="370"/>
      <c r="CD14" s="371"/>
      <c r="CE14" s="371"/>
      <c r="CF14" s="370"/>
      <c r="CG14" s="370"/>
      <c r="CH14" s="371"/>
      <c r="CI14" s="371"/>
      <c r="CJ14" s="370"/>
      <c r="CK14" s="370"/>
      <c r="CL14" s="371"/>
      <c r="CM14" s="371"/>
      <c r="CN14" s="370"/>
      <c r="CO14" s="370"/>
      <c r="CP14" s="371"/>
      <c r="CQ14" s="371"/>
      <c r="CR14" s="370"/>
      <c r="CS14" s="370"/>
      <c r="CT14" s="371"/>
      <c r="CU14" s="371"/>
      <c r="CV14" s="370"/>
      <c r="CW14" s="370"/>
      <c r="CX14" s="371"/>
      <c r="CY14" s="371"/>
      <c r="CZ14" s="370"/>
      <c r="DA14" s="370"/>
      <c r="DB14" s="371"/>
      <c r="DC14" s="371"/>
      <c r="DD14" s="370"/>
      <c r="DE14" s="370"/>
      <c r="DF14" s="371"/>
      <c r="DG14" s="371"/>
      <c r="DH14" s="370"/>
      <c r="DI14" s="370"/>
      <c r="DJ14" s="371"/>
      <c r="DK14" s="371"/>
      <c r="DL14" s="370"/>
      <c r="DM14" s="370"/>
      <c r="DN14" s="371"/>
      <c r="DO14" s="371"/>
      <c r="DP14" s="370"/>
      <c r="DQ14" s="370"/>
      <c r="DR14" s="371"/>
      <c r="DS14" s="371"/>
      <c r="DT14" s="370"/>
      <c r="DU14" s="370"/>
      <c r="DV14" s="371"/>
      <c r="DW14" s="371"/>
      <c r="DX14" s="370"/>
      <c r="DY14" s="370"/>
      <c r="DZ14" s="371"/>
      <c r="EA14" s="371"/>
      <c r="EB14" s="370"/>
      <c r="EC14" s="370"/>
      <c r="ED14" s="371"/>
      <c r="EE14" s="371"/>
      <c r="EF14" s="370"/>
      <c r="EG14" s="370"/>
      <c r="EH14" s="371"/>
      <c r="EI14" s="371"/>
      <c r="EJ14" s="370"/>
      <c r="EK14" s="370"/>
      <c r="EL14" s="371"/>
      <c r="EM14" s="371"/>
      <c r="EN14" s="370"/>
      <c r="EO14" s="370"/>
      <c r="EP14" s="371"/>
      <c r="EQ14" s="371"/>
      <c r="ER14" s="370"/>
      <c r="ES14" s="370"/>
      <c r="ET14" s="371"/>
      <c r="EU14" s="371"/>
      <c r="EV14" s="370"/>
      <c r="EW14" s="370"/>
      <c r="EX14" s="371"/>
      <c r="EY14" s="371"/>
      <c r="EZ14" s="370"/>
      <c r="FA14" s="370"/>
      <c r="FB14" s="371"/>
      <c r="FC14" s="371"/>
      <c r="FD14" s="370"/>
      <c r="FE14" s="370"/>
      <c r="FF14" s="371"/>
      <c r="FG14" s="371"/>
      <c r="FH14" s="370"/>
      <c r="FI14" s="370"/>
      <c r="FJ14" s="371"/>
      <c r="FK14" s="371"/>
      <c r="FL14" s="370"/>
      <c r="FM14" s="370"/>
      <c r="FN14" s="371"/>
      <c r="FO14" s="371"/>
      <c r="FP14" s="370"/>
      <c r="FQ14" s="370"/>
      <c r="FR14" s="371"/>
      <c r="FS14" s="371"/>
      <c r="FT14" s="370"/>
      <c r="FU14" s="370"/>
      <c r="FV14" s="371"/>
      <c r="FW14" s="371"/>
      <c r="FX14" s="370"/>
      <c r="FY14" s="370"/>
      <c r="FZ14" s="371"/>
      <c r="GA14" s="371"/>
      <c r="GB14" s="370"/>
      <c r="GC14" s="370"/>
      <c r="GD14" s="371"/>
      <c r="GE14" s="371"/>
      <c r="GF14" s="370"/>
      <c r="GG14" s="370"/>
      <c r="GH14" s="371"/>
      <c r="GI14" s="371"/>
      <c r="GJ14" s="370"/>
      <c r="GK14" s="370"/>
      <c r="GL14" s="371"/>
      <c r="GM14" s="371"/>
      <c r="GN14" s="370"/>
      <c r="GO14" s="370"/>
      <c r="GP14" s="371"/>
      <c r="GQ14" s="371"/>
      <c r="GR14" s="370"/>
      <c r="GS14" s="370"/>
    </row>
    <row r="15">
      <c r="A15" s="367" t="s">
        <v>164</v>
      </c>
      <c r="B15" s="368"/>
      <c r="C15" s="368"/>
      <c r="D15" s="369"/>
      <c r="E15" s="369"/>
      <c r="F15" s="368"/>
      <c r="G15" s="368"/>
      <c r="H15" s="370"/>
      <c r="I15" s="370"/>
      <c r="J15" s="371"/>
      <c r="K15" s="371"/>
      <c r="L15" s="370"/>
      <c r="M15" s="370"/>
      <c r="N15" s="371"/>
      <c r="O15" s="371"/>
      <c r="P15" s="370"/>
      <c r="Q15" s="370"/>
      <c r="R15" s="371"/>
      <c r="S15" s="371"/>
      <c r="T15" s="370"/>
      <c r="U15" s="370"/>
      <c r="V15" s="371"/>
      <c r="W15" s="371"/>
      <c r="X15" s="370"/>
      <c r="Y15" s="370"/>
      <c r="Z15" s="371"/>
      <c r="AA15" s="371"/>
      <c r="AB15" s="370"/>
      <c r="AC15" s="370"/>
      <c r="AD15" s="371"/>
      <c r="AE15" s="371"/>
      <c r="AF15" s="370"/>
      <c r="AG15" s="370"/>
      <c r="AH15" s="371"/>
      <c r="AI15" s="371"/>
      <c r="AJ15" s="370"/>
      <c r="AK15" s="370"/>
      <c r="AL15" s="371"/>
      <c r="AM15" s="371"/>
      <c r="AN15" s="370"/>
      <c r="AO15" s="370"/>
      <c r="AP15" s="371"/>
      <c r="AQ15" s="371"/>
      <c r="AR15" s="370"/>
      <c r="AS15" s="370"/>
      <c r="AT15" s="371"/>
      <c r="AU15" s="371"/>
      <c r="AV15" s="370"/>
      <c r="AW15" s="370"/>
      <c r="AX15" s="371"/>
      <c r="AY15" s="371"/>
      <c r="AZ15" s="370"/>
      <c r="BA15" s="370"/>
      <c r="BB15" s="371"/>
      <c r="BC15" s="371"/>
      <c r="BD15" s="370"/>
      <c r="BE15" s="370"/>
      <c r="BF15" s="371"/>
      <c r="BG15" s="371"/>
      <c r="BH15" s="370"/>
      <c r="BI15" s="370"/>
      <c r="BJ15" s="371"/>
      <c r="BK15" s="371"/>
      <c r="BL15" s="370"/>
      <c r="BM15" s="370"/>
      <c r="BN15" s="371"/>
      <c r="BO15" s="371"/>
      <c r="BP15" s="370"/>
      <c r="BQ15" s="370"/>
      <c r="BR15" s="371"/>
      <c r="BS15" s="371"/>
      <c r="BT15" s="370"/>
      <c r="BU15" s="370"/>
      <c r="BV15" s="371"/>
      <c r="BW15" s="371"/>
      <c r="BX15" s="370"/>
      <c r="BY15" s="370"/>
      <c r="BZ15" s="371"/>
      <c r="CA15" s="371"/>
      <c r="CB15" s="370"/>
      <c r="CC15" s="370"/>
      <c r="CD15" s="371"/>
      <c r="CE15" s="371"/>
      <c r="CF15" s="370"/>
      <c r="CG15" s="370"/>
      <c r="CH15" s="371"/>
      <c r="CI15" s="371"/>
      <c r="CJ15" s="370"/>
      <c r="CK15" s="370"/>
      <c r="CL15" s="371"/>
      <c r="CM15" s="371"/>
      <c r="CN15" s="370"/>
      <c r="CO15" s="370"/>
      <c r="CP15" s="371"/>
      <c r="CQ15" s="371"/>
      <c r="CR15" s="370"/>
      <c r="CS15" s="370"/>
      <c r="CT15" s="371"/>
      <c r="CU15" s="371"/>
      <c r="CV15" s="370"/>
      <c r="CW15" s="370"/>
      <c r="CX15" s="371"/>
      <c r="CY15" s="371"/>
      <c r="CZ15" s="370"/>
      <c r="DA15" s="370"/>
      <c r="DB15" s="371"/>
      <c r="DC15" s="371"/>
      <c r="DD15" s="370"/>
      <c r="DE15" s="370"/>
      <c r="DF15" s="371"/>
      <c r="DG15" s="371"/>
      <c r="DH15" s="370"/>
      <c r="DI15" s="370"/>
      <c r="DJ15" s="371"/>
      <c r="DK15" s="371"/>
      <c r="DL15" s="370"/>
      <c r="DM15" s="370"/>
      <c r="DN15" s="371"/>
      <c r="DO15" s="371"/>
      <c r="DP15" s="370"/>
      <c r="DQ15" s="370"/>
      <c r="DR15" s="371"/>
      <c r="DS15" s="371"/>
      <c r="DT15" s="370"/>
      <c r="DU15" s="370"/>
      <c r="DV15" s="371"/>
      <c r="DW15" s="371"/>
      <c r="DX15" s="370"/>
      <c r="DY15" s="370"/>
      <c r="DZ15" s="371"/>
      <c r="EA15" s="371"/>
      <c r="EB15" s="370"/>
      <c r="EC15" s="370"/>
      <c r="ED15" s="371"/>
      <c r="EE15" s="371"/>
      <c r="EF15" s="370"/>
      <c r="EG15" s="370"/>
      <c r="EH15" s="371"/>
      <c r="EI15" s="371"/>
      <c r="EJ15" s="370"/>
      <c r="EK15" s="370"/>
      <c r="EL15" s="371"/>
      <c r="EM15" s="371"/>
      <c r="EN15" s="370"/>
      <c r="EO15" s="370"/>
      <c r="EP15" s="371"/>
      <c r="EQ15" s="371"/>
      <c r="ER15" s="370"/>
      <c r="ES15" s="370"/>
      <c r="ET15" s="371"/>
      <c r="EU15" s="371"/>
      <c r="EV15" s="370"/>
      <c r="EW15" s="370"/>
      <c r="EX15" s="371"/>
      <c r="EY15" s="371"/>
      <c r="EZ15" s="370"/>
      <c r="FA15" s="370"/>
      <c r="FB15" s="371"/>
      <c r="FC15" s="371"/>
      <c r="FD15" s="370"/>
      <c r="FE15" s="370"/>
      <c r="FF15" s="371"/>
      <c r="FG15" s="371"/>
      <c r="FH15" s="370"/>
      <c r="FI15" s="370"/>
      <c r="FJ15" s="371"/>
      <c r="FK15" s="371"/>
      <c r="FL15" s="370"/>
      <c r="FM15" s="370"/>
      <c r="FN15" s="371"/>
      <c r="FO15" s="371"/>
      <c r="FP15" s="370"/>
      <c r="FQ15" s="370"/>
      <c r="FR15" s="371"/>
      <c r="FS15" s="371"/>
      <c r="FT15" s="370"/>
      <c r="FU15" s="370"/>
      <c r="FV15" s="371"/>
      <c r="FW15" s="371"/>
      <c r="FX15" s="370"/>
      <c r="FY15" s="370"/>
      <c r="FZ15" s="371"/>
      <c r="GA15" s="371"/>
      <c r="GB15" s="370"/>
      <c r="GC15" s="370"/>
      <c r="GD15" s="371"/>
      <c r="GE15" s="371"/>
      <c r="GF15" s="370"/>
      <c r="GG15" s="370"/>
      <c r="GH15" s="371"/>
      <c r="GI15" s="371"/>
      <c r="GJ15" s="370"/>
      <c r="GK15" s="370"/>
      <c r="GL15" s="371"/>
      <c r="GM15" s="371"/>
      <c r="GN15" s="370"/>
      <c r="GO15" s="370"/>
      <c r="GP15" s="371"/>
      <c r="GQ15" s="371"/>
      <c r="GR15" s="370"/>
      <c r="GS15" s="370"/>
    </row>
    <row r="16">
      <c r="A16" s="365" t="s">
        <v>165</v>
      </c>
      <c r="B16" s="366"/>
      <c r="C16" s="366"/>
      <c r="D16" s="366"/>
      <c r="E16" s="366"/>
      <c r="F16" s="366"/>
      <c r="G16" s="366"/>
      <c r="H16" s="365"/>
      <c r="I16" s="365"/>
      <c r="J16" s="365"/>
      <c r="K16" s="365"/>
      <c r="L16" s="365"/>
      <c r="M16" s="365"/>
      <c r="N16" s="365"/>
      <c r="O16" s="365"/>
      <c r="P16" s="365"/>
      <c r="Q16" s="365"/>
      <c r="R16" s="365"/>
      <c r="S16" s="365"/>
      <c r="T16" s="365"/>
      <c r="U16" s="365"/>
      <c r="V16" s="365"/>
      <c r="W16" s="365"/>
      <c r="X16" s="365"/>
      <c r="Y16" s="365"/>
      <c r="Z16" s="365"/>
      <c r="AA16" s="365"/>
      <c r="AB16" s="365"/>
      <c r="AC16" s="365"/>
      <c r="AD16" s="365"/>
      <c r="AE16" s="365"/>
      <c r="AF16" s="365"/>
      <c r="AG16" s="365"/>
      <c r="AH16" s="365"/>
      <c r="AI16" s="365"/>
      <c r="AJ16" s="365"/>
      <c r="AK16" s="365"/>
      <c r="AL16" s="365"/>
      <c r="AM16" s="365"/>
      <c r="AN16" s="365"/>
      <c r="AO16" s="365"/>
      <c r="AP16" s="365"/>
      <c r="AQ16" s="365"/>
      <c r="AR16" s="365"/>
      <c r="AS16" s="365"/>
      <c r="AT16" s="365"/>
      <c r="AU16" s="365"/>
      <c r="AV16" s="365"/>
      <c r="AW16" s="365"/>
      <c r="AX16" s="365"/>
      <c r="AY16" s="365"/>
      <c r="AZ16" s="365"/>
      <c r="BA16" s="365"/>
      <c r="BB16" s="365"/>
      <c r="BC16" s="365"/>
      <c r="BD16" s="365"/>
      <c r="BE16" s="365"/>
      <c r="BF16" s="365"/>
      <c r="BG16" s="365"/>
      <c r="BH16" s="365"/>
      <c r="BI16" s="365"/>
      <c r="BJ16" s="365"/>
      <c r="BK16" s="365"/>
      <c r="BL16" s="365"/>
      <c r="BM16" s="365"/>
      <c r="BN16" s="365"/>
      <c r="BO16" s="365"/>
      <c r="BP16" s="365"/>
      <c r="BQ16" s="365"/>
      <c r="BR16" s="365"/>
      <c r="BS16" s="365"/>
      <c r="BT16" s="365"/>
      <c r="BU16" s="365"/>
      <c r="BV16" s="365"/>
      <c r="BW16" s="365"/>
      <c r="BX16" s="365"/>
      <c r="BY16" s="365"/>
      <c r="BZ16" s="365"/>
      <c r="CA16" s="365"/>
      <c r="CB16" s="365"/>
      <c r="CC16" s="365"/>
      <c r="CD16" s="365"/>
      <c r="CE16" s="365"/>
      <c r="CF16" s="365"/>
      <c r="CG16" s="365"/>
      <c r="CH16" s="365"/>
      <c r="CI16" s="365"/>
      <c r="CJ16" s="365"/>
      <c r="CK16" s="365"/>
      <c r="CL16" s="365"/>
      <c r="CM16" s="365"/>
      <c r="CN16" s="365"/>
      <c r="CO16" s="365"/>
      <c r="CP16" s="365"/>
      <c r="CQ16" s="365"/>
      <c r="CR16" s="365"/>
      <c r="CS16" s="365"/>
      <c r="CT16" s="365"/>
      <c r="CU16" s="365"/>
      <c r="CV16" s="365"/>
      <c r="CW16" s="365"/>
      <c r="CX16" s="365"/>
      <c r="CY16" s="365"/>
      <c r="CZ16" s="365"/>
      <c r="DA16" s="365"/>
      <c r="DB16" s="365"/>
      <c r="DC16" s="365"/>
      <c r="DD16" s="365"/>
      <c r="DE16" s="365"/>
      <c r="DF16" s="365"/>
      <c r="DG16" s="365"/>
      <c r="DH16" s="365"/>
      <c r="DI16" s="365"/>
      <c r="DJ16" s="365"/>
      <c r="DK16" s="365"/>
      <c r="DL16" s="365"/>
      <c r="DM16" s="365"/>
      <c r="DN16" s="365"/>
      <c r="DO16" s="365"/>
      <c r="DP16" s="365"/>
      <c r="DQ16" s="365"/>
      <c r="DR16" s="365"/>
      <c r="DS16" s="365"/>
      <c r="DT16" s="365"/>
      <c r="DU16" s="365"/>
      <c r="DV16" s="365"/>
      <c r="DW16" s="365"/>
      <c r="DX16" s="365"/>
      <c r="DY16" s="365"/>
      <c r="DZ16" s="365"/>
      <c r="EA16" s="365"/>
      <c r="EB16" s="365"/>
      <c r="EC16" s="365"/>
      <c r="ED16" s="365"/>
      <c r="EE16" s="365"/>
      <c r="EF16" s="365"/>
      <c r="EG16" s="365"/>
      <c r="EH16" s="365"/>
      <c r="EI16" s="365"/>
      <c r="EJ16" s="365"/>
      <c r="EK16" s="365"/>
      <c r="EL16" s="365"/>
      <c r="EM16" s="365"/>
      <c r="EN16" s="365"/>
      <c r="EO16" s="365"/>
      <c r="EP16" s="365"/>
      <c r="EQ16" s="365"/>
      <c r="ER16" s="365"/>
      <c r="ES16" s="365"/>
      <c r="ET16" s="365"/>
      <c r="EU16" s="365"/>
      <c r="EV16" s="365"/>
      <c r="EW16" s="365"/>
      <c r="EX16" s="365"/>
      <c r="EY16" s="365"/>
      <c r="EZ16" s="365"/>
      <c r="FA16" s="365"/>
      <c r="FB16" s="365"/>
      <c r="FC16" s="365"/>
      <c r="FD16" s="365"/>
      <c r="FE16" s="365"/>
      <c r="FF16" s="365"/>
      <c r="FG16" s="365"/>
      <c r="FH16" s="365"/>
      <c r="FI16" s="365"/>
      <c r="FJ16" s="365"/>
      <c r="FK16" s="365"/>
      <c r="FL16" s="365"/>
      <c r="FM16" s="365"/>
      <c r="FN16" s="365"/>
      <c r="FO16" s="365"/>
      <c r="FP16" s="365"/>
      <c r="FQ16" s="365"/>
      <c r="FR16" s="365"/>
      <c r="FS16" s="365"/>
      <c r="FT16" s="365"/>
      <c r="FU16" s="365"/>
      <c r="FV16" s="365"/>
      <c r="FW16" s="365"/>
      <c r="FX16" s="365"/>
      <c r="FY16" s="365"/>
      <c r="FZ16" s="365"/>
      <c r="GA16" s="365"/>
      <c r="GB16" s="365"/>
      <c r="GC16" s="365"/>
      <c r="GD16" s="365"/>
      <c r="GE16" s="365"/>
      <c r="GF16" s="365"/>
      <c r="GG16" s="365"/>
      <c r="GH16" s="365"/>
      <c r="GI16" s="365"/>
      <c r="GJ16" s="365"/>
      <c r="GK16" s="365"/>
      <c r="GL16" s="365"/>
      <c r="GM16" s="365"/>
      <c r="GN16" s="365"/>
      <c r="GO16" s="365"/>
      <c r="GP16" s="365"/>
      <c r="GQ16" s="365"/>
      <c r="GR16" s="365"/>
      <c r="GS16" s="365"/>
    </row>
    <row r="17">
      <c r="A17" s="367" t="s">
        <v>166</v>
      </c>
      <c r="B17" s="368"/>
      <c r="C17" s="368"/>
      <c r="D17" s="369"/>
      <c r="E17" s="369"/>
      <c r="F17" s="368"/>
      <c r="G17" s="368"/>
      <c r="H17" s="370"/>
      <c r="I17" s="370"/>
      <c r="J17" s="371"/>
      <c r="K17" s="371"/>
      <c r="L17" s="370"/>
      <c r="M17" s="370"/>
      <c r="N17" s="371"/>
      <c r="O17" s="371"/>
      <c r="P17" s="370"/>
      <c r="Q17" s="370"/>
      <c r="R17" s="371"/>
      <c r="S17" s="371"/>
      <c r="T17" s="370"/>
      <c r="U17" s="370"/>
      <c r="V17" s="371"/>
      <c r="W17" s="371"/>
      <c r="X17" s="370"/>
      <c r="Y17" s="370"/>
      <c r="Z17" s="371"/>
      <c r="AA17" s="371"/>
      <c r="AB17" s="370"/>
      <c r="AC17" s="370"/>
      <c r="AD17" s="371"/>
      <c r="AE17" s="371"/>
      <c r="AF17" s="370"/>
      <c r="AG17" s="370"/>
      <c r="AH17" s="371"/>
      <c r="AI17" s="371"/>
      <c r="AJ17" s="370"/>
      <c r="AK17" s="370"/>
      <c r="AL17" s="371"/>
      <c r="AM17" s="371"/>
      <c r="AN17" s="370"/>
      <c r="AO17" s="370"/>
      <c r="AP17" s="371"/>
      <c r="AQ17" s="371"/>
      <c r="AR17" s="370"/>
      <c r="AS17" s="370"/>
      <c r="AT17" s="371"/>
      <c r="AU17" s="371"/>
      <c r="AV17" s="370"/>
      <c r="AW17" s="370"/>
      <c r="AX17" s="371"/>
      <c r="AY17" s="371"/>
      <c r="AZ17" s="370"/>
      <c r="BA17" s="370"/>
      <c r="BB17" s="371"/>
      <c r="BC17" s="371"/>
      <c r="BD17" s="370"/>
      <c r="BE17" s="370"/>
      <c r="BF17" s="371"/>
      <c r="BG17" s="371"/>
      <c r="BH17" s="370"/>
      <c r="BI17" s="370"/>
      <c r="BJ17" s="371"/>
      <c r="BK17" s="371"/>
      <c r="BL17" s="370"/>
      <c r="BM17" s="370"/>
      <c r="BN17" s="371"/>
      <c r="BO17" s="371"/>
      <c r="BP17" s="370"/>
      <c r="BQ17" s="370"/>
      <c r="BR17" s="371"/>
      <c r="BS17" s="371"/>
      <c r="BT17" s="370"/>
      <c r="BU17" s="370"/>
      <c r="BV17" s="371"/>
      <c r="BW17" s="371"/>
      <c r="BX17" s="370"/>
      <c r="BY17" s="370"/>
      <c r="BZ17" s="371"/>
      <c r="CA17" s="371"/>
      <c r="CB17" s="370"/>
      <c r="CC17" s="370"/>
      <c r="CD17" s="371"/>
      <c r="CE17" s="371"/>
      <c r="CF17" s="370"/>
      <c r="CG17" s="370"/>
      <c r="CH17" s="371"/>
      <c r="CI17" s="371"/>
      <c r="CJ17" s="370"/>
      <c r="CK17" s="370"/>
      <c r="CL17" s="371"/>
      <c r="CM17" s="371"/>
      <c r="CN17" s="370"/>
      <c r="CO17" s="370"/>
      <c r="CP17" s="371"/>
      <c r="CQ17" s="371"/>
      <c r="CR17" s="370"/>
      <c r="CS17" s="370"/>
      <c r="CT17" s="371"/>
      <c r="CU17" s="371"/>
      <c r="CV17" s="370"/>
      <c r="CW17" s="370"/>
      <c r="CX17" s="371"/>
      <c r="CY17" s="371"/>
      <c r="CZ17" s="370"/>
      <c r="DA17" s="370"/>
      <c r="DB17" s="371"/>
      <c r="DC17" s="371"/>
      <c r="DD17" s="370"/>
      <c r="DE17" s="370"/>
      <c r="DF17" s="371"/>
      <c r="DG17" s="371"/>
      <c r="DH17" s="370"/>
      <c r="DI17" s="370"/>
      <c r="DJ17" s="371"/>
      <c r="DK17" s="371"/>
      <c r="DL17" s="370"/>
      <c r="DM17" s="370"/>
      <c r="DN17" s="371"/>
      <c r="DO17" s="371"/>
      <c r="DP17" s="370"/>
      <c r="DQ17" s="370"/>
      <c r="DR17" s="371"/>
      <c r="DS17" s="371"/>
      <c r="DT17" s="370"/>
      <c r="DU17" s="370"/>
      <c r="DV17" s="371"/>
      <c r="DW17" s="371"/>
      <c r="DX17" s="370"/>
      <c r="DY17" s="370"/>
      <c r="DZ17" s="371"/>
      <c r="EA17" s="371"/>
      <c r="EB17" s="370"/>
      <c r="EC17" s="370"/>
      <c r="ED17" s="371"/>
      <c r="EE17" s="371"/>
      <c r="EF17" s="370"/>
      <c r="EG17" s="370"/>
      <c r="EH17" s="371"/>
      <c r="EI17" s="371"/>
      <c r="EJ17" s="370"/>
      <c r="EK17" s="370"/>
      <c r="EL17" s="371"/>
      <c r="EM17" s="371"/>
      <c r="EN17" s="370"/>
      <c r="EO17" s="370"/>
      <c r="EP17" s="371"/>
      <c r="EQ17" s="371"/>
      <c r="ER17" s="370"/>
      <c r="ES17" s="370"/>
      <c r="ET17" s="371"/>
      <c r="EU17" s="371"/>
      <c r="EV17" s="370"/>
      <c r="EW17" s="370"/>
      <c r="EX17" s="371"/>
      <c r="EY17" s="371"/>
      <c r="EZ17" s="370"/>
      <c r="FA17" s="370"/>
      <c r="FB17" s="371"/>
      <c r="FC17" s="371"/>
      <c r="FD17" s="370"/>
      <c r="FE17" s="370"/>
      <c r="FF17" s="371"/>
      <c r="FG17" s="371"/>
      <c r="FH17" s="370"/>
      <c r="FI17" s="370"/>
      <c r="FJ17" s="371"/>
      <c r="FK17" s="371"/>
      <c r="FL17" s="370"/>
      <c r="FM17" s="370"/>
      <c r="FN17" s="371"/>
      <c r="FO17" s="371"/>
      <c r="FP17" s="370"/>
      <c r="FQ17" s="370"/>
      <c r="FR17" s="371"/>
      <c r="FS17" s="371"/>
      <c r="FT17" s="370"/>
      <c r="FU17" s="370"/>
      <c r="FV17" s="371"/>
      <c r="FW17" s="371"/>
      <c r="FX17" s="370"/>
      <c r="FY17" s="370"/>
      <c r="FZ17" s="371"/>
      <c r="GA17" s="371"/>
      <c r="GB17" s="370"/>
      <c r="GC17" s="370"/>
      <c r="GD17" s="371"/>
      <c r="GE17" s="371"/>
      <c r="GF17" s="370"/>
      <c r="GG17" s="370"/>
      <c r="GH17" s="371"/>
      <c r="GI17" s="371"/>
      <c r="GJ17" s="370"/>
      <c r="GK17" s="370"/>
      <c r="GL17" s="371"/>
      <c r="GM17" s="371"/>
      <c r="GN17" s="370"/>
      <c r="GO17" s="370"/>
      <c r="GP17" s="371"/>
      <c r="GQ17" s="371"/>
      <c r="GR17" s="370"/>
      <c r="GS17" s="370"/>
    </row>
    <row r="18">
      <c r="A18" s="367" t="s">
        <v>167</v>
      </c>
      <c r="B18" s="368"/>
      <c r="C18" s="368"/>
      <c r="D18" s="369"/>
      <c r="E18" s="369"/>
      <c r="F18" s="368"/>
      <c r="G18" s="368"/>
      <c r="H18" s="370"/>
      <c r="I18" s="370"/>
      <c r="J18" s="371"/>
      <c r="K18" s="371"/>
      <c r="L18" s="370"/>
      <c r="M18" s="370"/>
      <c r="N18" s="371"/>
      <c r="O18" s="371"/>
      <c r="P18" s="370"/>
      <c r="Q18" s="370"/>
      <c r="R18" s="371"/>
      <c r="S18" s="371"/>
      <c r="T18" s="370"/>
      <c r="U18" s="370"/>
      <c r="V18" s="371"/>
      <c r="W18" s="371"/>
      <c r="X18" s="370"/>
      <c r="Y18" s="370"/>
      <c r="Z18" s="371"/>
      <c r="AA18" s="371"/>
      <c r="AB18" s="370"/>
      <c r="AC18" s="370"/>
      <c r="AD18" s="371"/>
      <c r="AE18" s="371"/>
      <c r="AF18" s="370"/>
      <c r="AG18" s="370"/>
      <c r="AH18" s="371"/>
      <c r="AI18" s="371"/>
      <c r="AJ18" s="370"/>
      <c r="AK18" s="370"/>
      <c r="AL18" s="371"/>
      <c r="AM18" s="371"/>
      <c r="AN18" s="370"/>
      <c r="AO18" s="370"/>
      <c r="AP18" s="371"/>
      <c r="AQ18" s="371"/>
      <c r="AR18" s="370"/>
      <c r="AS18" s="370"/>
      <c r="AT18" s="371"/>
      <c r="AU18" s="371"/>
      <c r="AV18" s="370"/>
      <c r="AW18" s="370"/>
      <c r="AX18" s="371"/>
      <c r="AY18" s="371"/>
      <c r="AZ18" s="370"/>
      <c r="BA18" s="370"/>
      <c r="BB18" s="371"/>
      <c r="BC18" s="371"/>
      <c r="BD18" s="370"/>
      <c r="BE18" s="370"/>
      <c r="BF18" s="371"/>
      <c r="BG18" s="371"/>
      <c r="BH18" s="370"/>
      <c r="BI18" s="370"/>
      <c r="BJ18" s="371"/>
      <c r="BK18" s="371"/>
      <c r="BL18" s="370"/>
      <c r="BM18" s="370"/>
      <c r="BN18" s="371"/>
      <c r="BO18" s="371"/>
      <c r="BP18" s="370"/>
      <c r="BQ18" s="370"/>
      <c r="BR18" s="371"/>
      <c r="BS18" s="371"/>
      <c r="BT18" s="370"/>
      <c r="BU18" s="370"/>
      <c r="BV18" s="371"/>
      <c r="BW18" s="371"/>
      <c r="BX18" s="370"/>
      <c r="BY18" s="370"/>
      <c r="BZ18" s="371"/>
      <c r="CA18" s="371"/>
      <c r="CB18" s="370"/>
      <c r="CC18" s="370"/>
      <c r="CD18" s="371"/>
      <c r="CE18" s="371"/>
      <c r="CF18" s="370"/>
      <c r="CG18" s="370"/>
      <c r="CH18" s="371"/>
      <c r="CI18" s="371"/>
      <c r="CJ18" s="370"/>
      <c r="CK18" s="370"/>
      <c r="CL18" s="371"/>
      <c r="CM18" s="371"/>
      <c r="CN18" s="370"/>
      <c r="CO18" s="370"/>
      <c r="CP18" s="371"/>
      <c r="CQ18" s="371"/>
      <c r="CR18" s="370"/>
      <c r="CS18" s="370"/>
      <c r="CT18" s="371"/>
      <c r="CU18" s="371"/>
      <c r="CV18" s="370"/>
      <c r="CW18" s="370"/>
      <c r="CX18" s="371"/>
      <c r="CY18" s="371"/>
      <c r="CZ18" s="370"/>
      <c r="DA18" s="370"/>
      <c r="DB18" s="371"/>
      <c r="DC18" s="371"/>
      <c r="DD18" s="370"/>
      <c r="DE18" s="370"/>
      <c r="DF18" s="371"/>
      <c r="DG18" s="371"/>
      <c r="DH18" s="370"/>
      <c r="DI18" s="370"/>
      <c r="DJ18" s="371"/>
      <c r="DK18" s="371"/>
      <c r="DL18" s="370"/>
      <c r="DM18" s="370"/>
      <c r="DN18" s="371"/>
      <c r="DO18" s="371"/>
      <c r="DP18" s="370"/>
      <c r="DQ18" s="370"/>
      <c r="DR18" s="371"/>
      <c r="DS18" s="371"/>
      <c r="DT18" s="370"/>
      <c r="DU18" s="370"/>
      <c r="DV18" s="371"/>
      <c r="DW18" s="371"/>
      <c r="DX18" s="370"/>
      <c r="DY18" s="370"/>
      <c r="DZ18" s="371"/>
      <c r="EA18" s="371"/>
      <c r="EB18" s="370"/>
      <c r="EC18" s="370"/>
      <c r="ED18" s="371"/>
      <c r="EE18" s="371"/>
      <c r="EF18" s="370"/>
      <c r="EG18" s="370"/>
      <c r="EH18" s="371"/>
      <c r="EI18" s="371"/>
      <c r="EJ18" s="370"/>
      <c r="EK18" s="370"/>
      <c r="EL18" s="371"/>
      <c r="EM18" s="371"/>
      <c r="EN18" s="370"/>
      <c r="EO18" s="370"/>
      <c r="EP18" s="371"/>
      <c r="EQ18" s="371"/>
      <c r="ER18" s="370"/>
      <c r="ES18" s="370"/>
      <c r="ET18" s="371"/>
      <c r="EU18" s="371"/>
      <c r="EV18" s="370"/>
      <c r="EW18" s="370"/>
      <c r="EX18" s="371"/>
      <c r="EY18" s="371"/>
      <c r="EZ18" s="370"/>
      <c r="FA18" s="370"/>
      <c r="FB18" s="371"/>
      <c r="FC18" s="371"/>
      <c r="FD18" s="370"/>
      <c r="FE18" s="370"/>
      <c r="FF18" s="371"/>
      <c r="FG18" s="371"/>
      <c r="FH18" s="370"/>
      <c r="FI18" s="370"/>
      <c r="FJ18" s="371"/>
      <c r="FK18" s="371"/>
      <c r="FL18" s="370"/>
      <c r="FM18" s="370"/>
      <c r="FN18" s="371"/>
      <c r="FO18" s="371"/>
      <c r="FP18" s="370"/>
      <c r="FQ18" s="370"/>
      <c r="FR18" s="371"/>
      <c r="FS18" s="371"/>
      <c r="FT18" s="370"/>
      <c r="FU18" s="370"/>
      <c r="FV18" s="371"/>
      <c r="FW18" s="371"/>
      <c r="FX18" s="370"/>
      <c r="FY18" s="370"/>
      <c r="FZ18" s="371"/>
      <c r="GA18" s="371"/>
      <c r="GB18" s="370"/>
      <c r="GC18" s="370"/>
      <c r="GD18" s="371"/>
      <c r="GE18" s="371"/>
      <c r="GF18" s="370"/>
      <c r="GG18" s="370"/>
      <c r="GH18" s="371"/>
      <c r="GI18" s="371"/>
      <c r="GJ18" s="370"/>
      <c r="GK18" s="370"/>
      <c r="GL18" s="371"/>
      <c r="GM18" s="371"/>
      <c r="GN18" s="370"/>
      <c r="GO18" s="370"/>
      <c r="GP18" s="371"/>
      <c r="GQ18" s="371"/>
      <c r="GR18" s="370"/>
      <c r="GS18" s="370"/>
    </row>
    <row r="19">
      <c r="A19" s="367" t="s">
        <v>168</v>
      </c>
      <c r="B19" s="368"/>
      <c r="C19" s="368"/>
      <c r="D19" s="369"/>
      <c r="E19" s="369"/>
      <c r="F19" s="368"/>
      <c r="G19" s="368"/>
      <c r="H19" s="370"/>
      <c r="I19" s="370"/>
      <c r="J19" s="371"/>
      <c r="K19" s="371"/>
      <c r="L19" s="370"/>
      <c r="M19" s="370"/>
      <c r="N19" s="371"/>
      <c r="O19" s="371"/>
      <c r="P19" s="370"/>
      <c r="Q19" s="370"/>
      <c r="R19" s="371"/>
      <c r="S19" s="371"/>
      <c r="T19" s="370"/>
      <c r="U19" s="370"/>
      <c r="V19" s="371"/>
      <c r="W19" s="371"/>
      <c r="X19" s="370"/>
      <c r="Y19" s="370"/>
      <c r="Z19" s="371"/>
      <c r="AA19" s="371"/>
      <c r="AB19" s="370"/>
      <c r="AC19" s="370"/>
      <c r="AD19" s="371"/>
      <c r="AE19" s="371"/>
      <c r="AF19" s="370"/>
      <c r="AG19" s="370"/>
      <c r="AH19" s="371"/>
      <c r="AI19" s="371"/>
      <c r="AJ19" s="370"/>
      <c r="AK19" s="370"/>
      <c r="AL19" s="371"/>
      <c r="AM19" s="371"/>
      <c r="AN19" s="370"/>
      <c r="AO19" s="370"/>
      <c r="AP19" s="371"/>
      <c r="AQ19" s="371"/>
      <c r="AR19" s="370"/>
      <c r="AS19" s="370"/>
      <c r="AT19" s="371"/>
      <c r="AU19" s="371"/>
      <c r="AV19" s="370"/>
      <c r="AW19" s="370"/>
      <c r="AX19" s="371"/>
      <c r="AY19" s="371"/>
      <c r="AZ19" s="370"/>
      <c r="BA19" s="370"/>
      <c r="BB19" s="371"/>
      <c r="BC19" s="371"/>
      <c r="BD19" s="370"/>
      <c r="BE19" s="370"/>
      <c r="BF19" s="371"/>
      <c r="BG19" s="371"/>
      <c r="BH19" s="370"/>
      <c r="BI19" s="370"/>
      <c r="BJ19" s="371"/>
      <c r="BK19" s="371"/>
      <c r="BL19" s="370"/>
      <c r="BM19" s="370"/>
      <c r="BN19" s="371"/>
      <c r="BO19" s="371"/>
      <c r="BP19" s="370"/>
      <c r="BQ19" s="370"/>
      <c r="BR19" s="371"/>
      <c r="BS19" s="371"/>
      <c r="BT19" s="370"/>
      <c r="BU19" s="370"/>
      <c r="BV19" s="371"/>
      <c r="BW19" s="371"/>
      <c r="BX19" s="370"/>
      <c r="BY19" s="370"/>
      <c r="BZ19" s="371"/>
      <c r="CA19" s="371"/>
      <c r="CB19" s="370"/>
      <c r="CC19" s="370"/>
      <c r="CD19" s="371"/>
      <c r="CE19" s="371"/>
      <c r="CF19" s="370"/>
      <c r="CG19" s="370"/>
      <c r="CH19" s="371"/>
      <c r="CI19" s="371"/>
      <c r="CJ19" s="370"/>
      <c r="CK19" s="370"/>
      <c r="CL19" s="371"/>
      <c r="CM19" s="371"/>
      <c r="CN19" s="370"/>
      <c r="CO19" s="370"/>
      <c r="CP19" s="371"/>
      <c r="CQ19" s="371"/>
      <c r="CR19" s="370"/>
      <c r="CS19" s="370"/>
      <c r="CT19" s="371"/>
      <c r="CU19" s="371"/>
      <c r="CV19" s="370"/>
      <c r="CW19" s="370"/>
      <c r="CX19" s="371"/>
      <c r="CY19" s="371"/>
      <c r="CZ19" s="370"/>
      <c r="DA19" s="370"/>
      <c r="DB19" s="371"/>
      <c r="DC19" s="371"/>
      <c r="DD19" s="370"/>
      <c r="DE19" s="370"/>
      <c r="DF19" s="371"/>
      <c r="DG19" s="371"/>
      <c r="DH19" s="370"/>
      <c r="DI19" s="370"/>
      <c r="DJ19" s="371"/>
      <c r="DK19" s="371"/>
      <c r="DL19" s="370"/>
      <c r="DM19" s="370"/>
      <c r="DN19" s="371"/>
      <c r="DO19" s="371"/>
      <c r="DP19" s="370"/>
      <c r="DQ19" s="370"/>
      <c r="DR19" s="371"/>
      <c r="DS19" s="371"/>
      <c r="DT19" s="370"/>
      <c r="DU19" s="370"/>
      <c r="DV19" s="371"/>
      <c r="DW19" s="371"/>
      <c r="DX19" s="370"/>
      <c r="DY19" s="370"/>
      <c r="DZ19" s="371"/>
      <c r="EA19" s="371"/>
      <c r="EB19" s="370"/>
      <c r="EC19" s="370"/>
      <c r="ED19" s="371"/>
      <c r="EE19" s="371"/>
      <c r="EF19" s="370"/>
      <c r="EG19" s="370"/>
      <c r="EH19" s="371"/>
      <c r="EI19" s="371"/>
      <c r="EJ19" s="370"/>
      <c r="EK19" s="370"/>
      <c r="EL19" s="371"/>
      <c r="EM19" s="371"/>
      <c r="EN19" s="370"/>
      <c r="EO19" s="370"/>
      <c r="EP19" s="371"/>
      <c r="EQ19" s="371"/>
      <c r="ER19" s="370"/>
      <c r="ES19" s="370"/>
      <c r="ET19" s="371"/>
      <c r="EU19" s="371"/>
      <c r="EV19" s="370"/>
      <c r="EW19" s="370"/>
      <c r="EX19" s="371"/>
      <c r="EY19" s="371"/>
      <c r="EZ19" s="370"/>
      <c r="FA19" s="370"/>
      <c r="FB19" s="371"/>
      <c r="FC19" s="371"/>
      <c r="FD19" s="370"/>
      <c r="FE19" s="370"/>
      <c r="FF19" s="371"/>
      <c r="FG19" s="371"/>
      <c r="FH19" s="370"/>
      <c r="FI19" s="370"/>
      <c r="FJ19" s="371"/>
      <c r="FK19" s="371"/>
      <c r="FL19" s="370"/>
      <c r="FM19" s="370"/>
      <c r="FN19" s="371"/>
      <c r="FO19" s="371"/>
      <c r="FP19" s="370"/>
      <c r="FQ19" s="370"/>
      <c r="FR19" s="371"/>
      <c r="FS19" s="371"/>
      <c r="FT19" s="370"/>
      <c r="FU19" s="370"/>
      <c r="FV19" s="371"/>
      <c r="FW19" s="371"/>
      <c r="FX19" s="370"/>
      <c r="FY19" s="370"/>
      <c r="FZ19" s="371"/>
      <c r="GA19" s="371"/>
      <c r="GB19" s="370"/>
      <c r="GC19" s="370"/>
      <c r="GD19" s="371"/>
      <c r="GE19" s="371"/>
      <c r="GF19" s="370"/>
      <c r="GG19" s="370"/>
      <c r="GH19" s="371"/>
      <c r="GI19" s="371"/>
      <c r="GJ19" s="370"/>
      <c r="GK19" s="370"/>
      <c r="GL19" s="371"/>
      <c r="GM19" s="371"/>
      <c r="GN19" s="370"/>
      <c r="GO19" s="370"/>
      <c r="GP19" s="371"/>
      <c r="GQ19" s="371"/>
      <c r="GR19" s="370"/>
      <c r="GS19" s="370"/>
    </row>
    <row r="20">
      <c r="A20" s="365" t="s">
        <v>169</v>
      </c>
      <c r="B20" s="366"/>
      <c r="C20" s="366"/>
      <c r="D20" s="366"/>
      <c r="E20" s="366"/>
      <c r="F20" s="366"/>
      <c r="G20" s="366"/>
      <c r="H20" s="365"/>
      <c r="I20" s="365"/>
      <c r="J20" s="365"/>
      <c r="K20" s="365"/>
      <c r="L20" s="365"/>
      <c r="M20" s="365"/>
      <c r="N20" s="365"/>
      <c r="O20" s="365"/>
      <c r="P20" s="365"/>
      <c r="Q20" s="365"/>
      <c r="R20" s="365"/>
      <c r="S20" s="365"/>
      <c r="T20" s="365"/>
      <c r="U20" s="365"/>
      <c r="V20" s="365"/>
      <c r="W20" s="365"/>
      <c r="X20" s="365"/>
      <c r="Y20" s="365"/>
      <c r="Z20" s="365"/>
      <c r="AA20" s="365"/>
      <c r="AB20" s="365"/>
      <c r="AC20" s="365"/>
      <c r="AD20" s="365"/>
      <c r="AE20" s="365"/>
      <c r="AF20" s="365"/>
      <c r="AG20" s="365"/>
      <c r="AH20" s="365"/>
      <c r="AI20" s="365"/>
      <c r="AJ20" s="365"/>
      <c r="AK20" s="365"/>
      <c r="AL20" s="365"/>
      <c r="AM20" s="365"/>
      <c r="AN20" s="365"/>
      <c r="AO20" s="365"/>
      <c r="AP20" s="365"/>
      <c r="AQ20" s="365"/>
      <c r="AR20" s="365"/>
      <c r="AS20" s="365"/>
      <c r="AT20" s="365"/>
      <c r="AU20" s="365"/>
      <c r="AV20" s="365"/>
      <c r="AW20" s="365"/>
      <c r="AX20" s="365"/>
      <c r="AY20" s="365"/>
      <c r="AZ20" s="365"/>
      <c r="BA20" s="365"/>
      <c r="BB20" s="365"/>
      <c r="BC20" s="365"/>
      <c r="BD20" s="365"/>
      <c r="BE20" s="365"/>
      <c r="BF20" s="365"/>
      <c r="BG20" s="365"/>
      <c r="BH20" s="365"/>
      <c r="BI20" s="365"/>
      <c r="BJ20" s="365"/>
      <c r="BK20" s="365"/>
      <c r="BL20" s="365"/>
      <c r="BM20" s="365"/>
      <c r="BN20" s="365"/>
      <c r="BO20" s="365"/>
      <c r="BP20" s="365"/>
      <c r="BQ20" s="365"/>
      <c r="BR20" s="365"/>
      <c r="BS20" s="365"/>
      <c r="BT20" s="365"/>
      <c r="BU20" s="365"/>
      <c r="BV20" s="365"/>
      <c r="BW20" s="365"/>
      <c r="BX20" s="365"/>
      <c r="BY20" s="365"/>
      <c r="BZ20" s="365"/>
      <c r="CA20" s="365"/>
      <c r="CB20" s="365"/>
      <c r="CC20" s="365"/>
      <c r="CD20" s="365"/>
      <c r="CE20" s="365"/>
      <c r="CF20" s="365"/>
      <c r="CG20" s="365"/>
      <c r="CH20" s="365"/>
      <c r="CI20" s="365"/>
      <c r="CJ20" s="365"/>
      <c r="CK20" s="365"/>
      <c r="CL20" s="365"/>
      <c r="CM20" s="365"/>
      <c r="CN20" s="365"/>
      <c r="CO20" s="365"/>
      <c r="CP20" s="365"/>
      <c r="CQ20" s="365"/>
      <c r="CR20" s="365"/>
      <c r="CS20" s="365"/>
      <c r="CT20" s="365"/>
      <c r="CU20" s="365"/>
      <c r="CV20" s="365"/>
      <c r="CW20" s="365"/>
      <c r="CX20" s="365"/>
      <c r="CY20" s="365"/>
      <c r="CZ20" s="365"/>
      <c r="DA20" s="365"/>
      <c r="DB20" s="365"/>
      <c r="DC20" s="365"/>
      <c r="DD20" s="365"/>
      <c r="DE20" s="365"/>
      <c r="DF20" s="365"/>
      <c r="DG20" s="365"/>
      <c r="DH20" s="365"/>
      <c r="DI20" s="365"/>
      <c r="DJ20" s="365"/>
      <c r="DK20" s="365"/>
      <c r="DL20" s="365"/>
      <c r="DM20" s="365"/>
      <c r="DN20" s="365"/>
      <c r="DO20" s="365"/>
      <c r="DP20" s="365"/>
      <c r="DQ20" s="365"/>
      <c r="DR20" s="365"/>
      <c r="DS20" s="365"/>
      <c r="DT20" s="365"/>
      <c r="DU20" s="365"/>
      <c r="DV20" s="365"/>
      <c r="DW20" s="365"/>
      <c r="DX20" s="365"/>
      <c r="DY20" s="365"/>
      <c r="DZ20" s="365"/>
      <c r="EA20" s="365"/>
      <c r="EB20" s="365"/>
      <c r="EC20" s="365"/>
      <c r="ED20" s="365"/>
      <c r="EE20" s="365"/>
      <c r="EF20" s="365"/>
      <c r="EG20" s="365"/>
      <c r="EH20" s="365"/>
      <c r="EI20" s="365"/>
      <c r="EJ20" s="365"/>
      <c r="EK20" s="365"/>
      <c r="EL20" s="365"/>
      <c r="EM20" s="365"/>
      <c r="EN20" s="365"/>
      <c r="EO20" s="365"/>
      <c r="EP20" s="365"/>
      <c r="EQ20" s="365"/>
      <c r="ER20" s="365"/>
      <c r="ES20" s="365"/>
      <c r="ET20" s="365"/>
      <c r="EU20" s="365"/>
      <c r="EV20" s="365"/>
      <c r="EW20" s="365"/>
      <c r="EX20" s="365"/>
      <c r="EY20" s="365"/>
      <c r="EZ20" s="365"/>
      <c r="FA20" s="365"/>
      <c r="FB20" s="365"/>
      <c r="FC20" s="365"/>
      <c r="FD20" s="365"/>
      <c r="FE20" s="365"/>
      <c r="FF20" s="365"/>
      <c r="FG20" s="365"/>
      <c r="FH20" s="365"/>
      <c r="FI20" s="365"/>
      <c r="FJ20" s="365"/>
      <c r="FK20" s="365"/>
      <c r="FL20" s="365"/>
      <c r="FM20" s="365"/>
      <c r="FN20" s="365"/>
      <c r="FO20" s="365"/>
      <c r="FP20" s="365"/>
      <c r="FQ20" s="365"/>
      <c r="FR20" s="365"/>
      <c r="FS20" s="365"/>
      <c r="FT20" s="365"/>
      <c r="FU20" s="365"/>
      <c r="FV20" s="365"/>
      <c r="FW20" s="365"/>
      <c r="FX20" s="365"/>
      <c r="FY20" s="365"/>
      <c r="FZ20" s="365"/>
      <c r="GA20" s="365"/>
      <c r="GB20" s="365"/>
      <c r="GC20" s="365"/>
      <c r="GD20" s="365"/>
      <c r="GE20" s="365"/>
      <c r="GF20" s="365"/>
      <c r="GG20" s="365"/>
      <c r="GH20" s="365"/>
      <c r="GI20" s="365"/>
      <c r="GJ20" s="365"/>
      <c r="GK20" s="365"/>
      <c r="GL20" s="365"/>
      <c r="GM20" s="365"/>
      <c r="GN20" s="365"/>
      <c r="GO20" s="365"/>
      <c r="GP20" s="365"/>
      <c r="GQ20" s="365"/>
      <c r="GR20" s="365"/>
      <c r="GS20" s="365"/>
    </row>
    <row r="21">
      <c r="A21" s="367" t="s">
        <v>170</v>
      </c>
      <c r="B21" s="368"/>
      <c r="C21" s="368"/>
      <c r="D21" s="369"/>
      <c r="E21" s="369"/>
      <c r="F21" s="368"/>
      <c r="G21" s="368"/>
      <c r="H21" s="370"/>
      <c r="I21" s="370"/>
      <c r="J21" s="371"/>
      <c r="K21" s="371"/>
      <c r="L21" s="370"/>
      <c r="M21" s="370"/>
      <c r="N21" s="371"/>
      <c r="O21" s="371"/>
      <c r="P21" s="370"/>
      <c r="Q21" s="370"/>
      <c r="R21" s="371"/>
      <c r="S21" s="371"/>
      <c r="T21" s="370"/>
      <c r="U21" s="370"/>
      <c r="V21" s="371"/>
      <c r="W21" s="371"/>
      <c r="X21" s="370"/>
      <c r="Y21" s="370"/>
      <c r="Z21" s="371"/>
      <c r="AA21" s="371"/>
      <c r="AB21" s="370"/>
      <c r="AC21" s="370"/>
      <c r="AD21" s="371"/>
      <c r="AE21" s="371"/>
      <c r="AF21" s="370"/>
      <c r="AG21" s="370"/>
      <c r="AH21" s="371"/>
      <c r="AI21" s="371"/>
      <c r="AJ21" s="370"/>
      <c r="AK21" s="370"/>
      <c r="AL21" s="371"/>
      <c r="AM21" s="371"/>
      <c r="AN21" s="370"/>
      <c r="AO21" s="370"/>
      <c r="AP21" s="371"/>
      <c r="AQ21" s="371"/>
      <c r="AR21" s="370"/>
      <c r="AS21" s="370"/>
      <c r="AT21" s="371"/>
      <c r="AU21" s="371"/>
      <c r="AV21" s="370"/>
      <c r="AW21" s="370"/>
      <c r="AX21" s="371"/>
      <c r="AY21" s="371"/>
      <c r="AZ21" s="370"/>
      <c r="BA21" s="370"/>
      <c r="BB21" s="371"/>
      <c r="BC21" s="371"/>
      <c r="BD21" s="370"/>
      <c r="BE21" s="370"/>
      <c r="BF21" s="371"/>
      <c r="BG21" s="371"/>
      <c r="BH21" s="370"/>
      <c r="BI21" s="370"/>
      <c r="BJ21" s="371"/>
      <c r="BK21" s="371"/>
      <c r="BL21" s="370"/>
      <c r="BM21" s="370"/>
      <c r="BN21" s="371"/>
      <c r="BO21" s="371"/>
      <c r="BP21" s="370"/>
      <c r="BQ21" s="370"/>
      <c r="BR21" s="371"/>
      <c r="BS21" s="371"/>
      <c r="BT21" s="370"/>
      <c r="BU21" s="370"/>
      <c r="BV21" s="371"/>
      <c r="BW21" s="371"/>
      <c r="BX21" s="370"/>
      <c r="BY21" s="370"/>
      <c r="BZ21" s="371"/>
      <c r="CA21" s="371"/>
      <c r="CB21" s="370"/>
      <c r="CC21" s="370"/>
      <c r="CD21" s="371"/>
      <c r="CE21" s="371"/>
      <c r="CF21" s="370"/>
      <c r="CG21" s="370"/>
      <c r="CH21" s="371"/>
      <c r="CI21" s="371"/>
      <c r="CJ21" s="370"/>
      <c r="CK21" s="370"/>
      <c r="CL21" s="371"/>
      <c r="CM21" s="371"/>
      <c r="CN21" s="370"/>
      <c r="CO21" s="370"/>
      <c r="CP21" s="371"/>
      <c r="CQ21" s="371"/>
      <c r="CR21" s="370"/>
      <c r="CS21" s="370"/>
      <c r="CT21" s="371"/>
      <c r="CU21" s="371"/>
      <c r="CV21" s="370"/>
      <c r="CW21" s="370"/>
      <c r="CX21" s="371"/>
      <c r="CY21" s="371"/>
      <c r="CZ21" s="370"/>
      <c r="DA21" s="370"/>
      <c r="DB21" s="371"/>
      <c r="DC21" s="371"/>
      <c r="DD21" s="370"/>
      <c r="DE21" s="370"/>
      <c r="DF21" s="371"/>
      <c r="DG21" s="371"/>
      <c r="DH21" s="370"/>
      <c r="DI21" s="370"/>
      <c r="DJ21" s="371"/>
      <c r="DK21" s="371"/>
      <c r="DL21" s="370"/>
      <c r="DM21" s="370"/>
      <c r="DN21" s="371"/>
      <c r="DO21" s="371"/>
      <c r="DP21" s="370"/>
      <c r="DQ21" s="370"/>
      <c r="DR21" s="371"/>
      <c r="DS21" s="371"/>
      <c r="DT21" s="370"/>
      <c r="DU21" s="370"/>
      <c r="DV21" s="371"/>
      <c r="DW21" s="371"/>
      <c r="DX21" s="370"/>
      <c r="DY21" s="370"/>
      <c r="DZ21" s="371"/>
      <c r="EA21" s="371"/>
      <c r="EB21" s="370"/>
      <c r="EC21" s="370"/>
      <c r="ED21" s="371"/>
      <c r="EE21" s="371"/>
      <c r="EF21" s="370"/>
      <c r="EG21" s="370"/>
      <c r="EH21" s="371"/>
      <c r="EI21" s="371"/>
      <c r="EJ21" s="370"/>
      <c r="EK21" s="370"/>
      <c r="EL21" s="371"/>
      <c r="EM21" s="371"/>
      <c r="EN21" s="370"/>
      <c r="EO21" s="370"/>
      <c r="EP21" s="371"/>
      <c r="EQ21" s="371"/>
      <c r="ER21" s="370"/>
      <c r="ES21" s="370"/>
      <c r="ET21" s="371"/>
      <c r="EU21" s="371"/>
      <c r="EV21" s="370"/>
      <c r="EW21" s="370"/>
      <c r="EX21" s="371"/>
      <c r="EY21" s="371"/>
      <c r="EZ21" s="370"/>
      <c r="FA21" s="370"/>
      <c r="FB21" s="371"/>
      <c r="FC21" s="371"/>
      <c r="FD21" s="370"/>
      <c r="FE21" s="370"/>
      <c r="FF21" s="371"/>
      <c r="FG21" s="371"/>
      <c r="FH21" s="370"/>
      <c r="FI21" s="370"/>
      <c r="FJ21" s="371"/>
      <c r="FK21" s="371"/>
      <c r="FL21" s="370"/>
      <c r="FM21" s="370"/>
      <c r="FN21" s="371"/>
      <c r="FO21" s="371"/>
      <c r="FP21" s="370"/>
      <c r="FQ21" s="370"/>
      <c r="FR21" s="371"/>
      <c r="FS21" s="371"/>
      <c r="FT21" s="370"/>
      <c r="FU21" s="370"/>
      <c r="FV21" s="371"/>
      <c r="FW21" s="371"/>
      <c r="FX21" s="370"/>
      <c r="FY21" s="370"/>
      <c r="FZ21" s="371"/>
      <c r="GA21" s="371"/>
      <c r="GB21" s="370"/>
      <c r="GC21" s="370"/>
      <c r="GD21" s="371"/>
      <c r="GE21" s="371"/>
      <c r="GF21" s="370"/>
      <c r="GG21" s="370"/>
      <c r="GH21" s="371"/>
      <c r="GI21" s="371"/>
      <c r="GJ21" s="370"/>
      <c r="GK21" s="370"/>
      <c r="GL21" s="371"/>
      <c r="GM21" s="371"/>
      <c r="GN21" s="370"/>
      <c r="GO21" s="370"/>
      <c r="GP21" s="371"/>
      <c r="GQ21" s="371"/>
      <c r="GR21" s="370"/>
      <c r="GS21" s="370"/>
    </row>
    <row r="22">
      <c r="A22" s="367" t="s">
        <v>171</v>
      </c>
      <c r="B22" s="368"/>
      <c r="C22" s="368"/>
      <c r="D22" s="369"/>
      <c r="E22" s="369"/>
      <c r="F22" s="368"/>
      <c r="G22" s="368"/>
      <c r="H22" s="370"/>
      <c r="I22" s="370"/>
      <c r="J22" s="371"/>
      <c r="K22" s="371"/>
      <c r="L22" s="370"/>
      <c r="M22" s="370"/>
      <c r="N22" s="371"/>
      <c r="O22" s="371"/>
      <c r="P22" s="370"/>
      <c r="Q22" s="370"/>
      <c r="R22" s="371"/>
      <c r="S22" s="371"/>
      <c r="T22" s="370"/>
      <c r="U22" s="370"/>
      <c r="V22" s="371"/>
      <c r="W22" s="371"/>
      <c r="X22" s="370"/>
      <c r="Y22" s="370"/>
      <c r="Z22" s="371"/>
      <c r="AA22" s="371"/>
      <c r="AB22" s="370"/>
      <c r="AC22" s="370"/>
      <c r="AD22" s="371"/>
      <c r="AE22" s="371"/>
      <c r="AF22" s="370"/>
      <c r="AG22" s="370"/>
      <c r="AH22" s="371"/>
      <c r="AI22" s="371"/>
      <c r="AJ22" s="370"/>
      <c r="AK22" s="370"/>
      <c r="AL22" s="371"/>
      <c r="AM22" s="371"/>
      <c r="AN22" s="370"/>
      <c r="AO22" s="370"/>
      <c r="AP22" s="371"/>
      <c r="AQ22" s="371"/>
      <c r="AR22" s="370"/>
      <c r="AS22" s="370"/>
      <c r="AT22" s="371"/>
      <c r="AU22" s="371"/>
      <c r="AV22" s="370"/>
      <c r="AW22" s="370"/>
      <c r="AX22" s="371"/>
      <c r="AY22" s="371"/>
      <c r="AZ22" s="370"/>
      <c r="BA22" s="370"/>
      <c r="BB22" s="371"/>
      <c r="BC22" s="371"/>
      <c r="BD22" s="370"/>
      <c r="BE22" s="370"/>
      <c r="BF22" s="371"/>
      <c r="BG22" s="371"/>
      <c r="BH22" s="370"/>
      <c r="BI22" s="370"/>
      <c r="BJ22" s="371"/>
      <c r="BK22" s="371"/>
      <c r="BL22" s="370"/>
      <c r="BM22" s="370"/>
      <c r="BN22" s="371"/>
      <c r="BO22" s="371"/>
      <c r="BP22" s="370"/>
      <c r="BQ22" s="370"/>
      <c r="BR22" s="371"/>
      <c r="BS22" s="371"/>
      <c r="BT22" s="370"/>
      <c r="BU22" s="370"/>
      <c r="BV22" s="371"/>
      <c r="BW22" s="371"/>
      <c r="BX22" s="370"/>
      <c r="BY22" s="370"/>
      <c r="BZ22" s="371"/>
      <c r="CA22" s="371"/>
      <c r="CB22" s="370"/>
      <c r="CC22" s="370"/>
      <c r="CD22" s="371"/>
      <c r="CE22" s="371"/>
      <c r="CF22" s="370"/>
      <c r="CG22" s="370"/>
      <c r="CH22" s="371"/>
      <c r="CI22" s="371"/>
      <c r="CJ22" s="370"/>
      <c r="CK22" s="370"/>
      <c r="CL22" s="371"/>
      <c r="CM22" s="371"/>
      <c r="CN22" s="370"/>
      <c r="CO22" s="370"/>
      <c r="CP22" s="371"/>
      <c r="CQ22" s="371"/>
      <c r="CR22" s="370"/>
      <c r="CS22" s="370"/>
      <c r="CT22" s="371"/>
      <c r="CU22" s="371"/>
      <c r="CV22" s="370"/>
      <c r="CW22" s="370"/>
      <c r="CX22" s="371"/>
      <c r="CY22" s="371"/>
      <c r="CZ22" s="370"/>
      <c r="DA22" s="370"/>
      <c r="DB22" s="371"/>
      <c r="DC22" s="371"/>
      <c r="DD22" s="370"/>
      <c r="DE22" s="370"/>
      <c r="DF22" s="371"/>
      <c r="DG22" s="371"/>
      <c r="DH22" s="370"/>
      <c r="DI22" s="370"/>
      <c r="DJ22" s="371"/>
      <c r="DK22" s="371"/>
      <c r="DL22" s="370"/>
      <c r="DM22" s="370"/>
      <c r="DN22" s="371"/>
      <c r="DO22" s="371"/>
      <c r="DP22" s="370"/>
      <c r="DQ22" s="370"/>
      <c r="DR22" s="371"/>
      <c r="DS22" s="371"/>
      <c r="DT22" s="370"/>
      <c r="DU22" s="370"/>
      <c r="DV22" s="371"/>
      <c r="DW22" s="371"/>
      <c r="DX22" s="370"/>
      <c r="DY22" s="370"/>
      <c r="DZ22" s="371"/>
      <c r="EA22" s="371"/>
      <c r="EB22" s="370"/>
      <c r="EC22" s="370"/>
      <c r="ED22" s="371"/>
      <c r="EE22" s="371"/>
      <c r="EF22" s="370"/>
      <c r="EG22" s="370"/>
      <c r="EH22" s="371"/>
      <c r="EI22" s="371"/>
      <c r="EJ22" s="370"/>
      <c r="EK22" s="370"/>
      <c r="EL22" s="371"/>
      <c r="EM22" s="371"/>
      <c r="EN22" s="370"/>
      <c r="EO22" s="370"/>
      <c r="EP22" s="371"/>
      <c r="EQ22" s="371"/>
      <c r="ER22" s="370"/>
      <c r="ES22" s="370"/>
      <c r="ET22" s="371"/>
      <c r="EU22" s="371"/>
      <c r="EV22" s="370"/>
      <c r="EW22" s="370"/>
      <c r="EX22" s="371"/>
      <c r="EY22" s="371"/>
      <c r="EZ22" s="370"/>
      <c r="FA22" s="370"/>
      <c r="FB22" s="371"/>
      <c r="FC22" s="371"/>
      <c r="FD22" s="370"/>
      <c r="FE22" s="370"/>
      <c r="FF22" s="371"/>
      <c r="FG22" s="371"/>
      <c r="FH22" s="370"/>
      <c r="FI22" s="370"/>
      <c r="FJ22" s="371"/>
      <c r="FK22" s="371"/>
      <c r="FL22" s="370"/>
      <c r="FM22" s="370"/>
      <c r="FN22" s="371"/>
      <c r="FO22" s="371"/>
      <c r="FP22" s="370"/>
      <c r="FQ22" s="370"/>
      <c r="FR22" s="371"/>
      <c r="FS22" s="371"/>
      <c r="FT22" s="370"/>
      <c r="FU22" s="370"/>
      <c r="FV22" s="371"/>
      <c r="FW22" s="371"/>
      <c r="FX22" s="370"/>
      <c r="FY22" s="370"/>
      <c r="FZ22" s="371"/>
      <c r="GA22" s="371"/>
      <c r="GB22" s="370"/>
      <c r="GC22" s="370"/>
      <c r="GD22" s="371"/>
      <c r="GE22" s="371"/>
      <c r="GF22" s="370"/>
      <c r="GG22" s="370"/>
      <c r="GH22" s="371"/>
      <c r="GI22" s="371"/>
      <c r="GJ22" s="370"/>
      <c r="GK22" s="370"/>
      <c r="GL22" s="371"/>
      <c r="GM22" s="371"/>
      <c r="GN22" s="370"/>
      <c r="GO22" s="370"/>
      <c r="GP22" s="371"/>
      <c r="GQ22" s="371"/>
      <c r="GR22" s="370"/>
      <c r="GS22" s="370"/>
    </row>
    <row r="23">
      <c r="A23" s="367" t="s">
        <v>172</v>
      </c>
      <c r="B23" s="368"/>
      <c r="C23" s="368"/>
      <c r="D23" s="369"/>
      <c r="E23" s="369"/>
      <c r="F23" s="368"/>
      <c r="G23" s="368"/>
      <c r="H23" s="370"/>
      <c r="I23" s="370"/>
      <c r="J23" s="371"/>
      <c r="K23" s="371"/>
      <c r="L23" s="370"/>
      <c r="M23" s="370"/>
      <c r="N23" s="371"/>
      <c r="O23" s="371"/>
      <c r="P23" s="370"/>
      <c r="Q23" s="370"/>
      <c r="R23" s="371"/>
      <c r="S23" s="371"/>
      <c r="T23" s="370"/>
      <c r="U23" s="370"/>
      <c r="V23" s="371"/>
      <c r="W23" s="371"/>
      <c r="X23" s="370"/>
      <c r="Y23" s="370"/>
      <c r="Z23" s="371"/>
      <c r="AA23" s="371"/>
      <c r="AB23" s="370"/>
      <c r="AC23" s="370"/>
      <c r="AD23" s="371"/>
      <c r="AE23" s="371"/>
      <c r="AF23" s="370"/>
      <c r="AG23" s="370"/>
      <c r="AH23" s="371"/>
      <c r="AI23" s="371"/>
      <c r="AJ23" s="370"/>
      <c r="AK23" s="370"/>
      <c r="AL23" s="371"/>
      <c r="AM23" s="371"/>
      <c r="AN23" s="370"/>
      <c r="AO23" s="370"/>
      <c r="AP23" s="371"/>
      <c r="AQ23" s="371"/>
      <c r="AR23" s="370"/>
      <c r="AS23" s="370"/>
      <c r="AT23" s="371"/>
      <c r="AU23" s="371"/>
      <c r="AV23" s="370"/>
      <c r="AW23" s="370"/>
      <c r="AX23" s="371"/>
      <c r="AY23" s="371"/>
      <c r="AZ23" s="370"/>
      <c r="BA23" s="370"/>
      <c r="BB23" s="371"/>
      <c r="BC23" s="371"/>
      <c r="BD23" s="370"/>
      <c r="BE23" s="370"/>
      <c r="BF23" s="371"/>
      <c r="BG23" s="371"/>
      <c r="BH23" s="370"/>
      <c r="BI23" s="370"/>
      <c r="BJ23" s="371"/>
      <c r="BK23" s="371"/>
      <c r="BL23" s="370"/>
      <c r="BM23" s="370"/>
      <c r="BN23" s="371"/>
      <c r="BO23" s="371"/>
      <c r="BP23" s="370"/>
      <c r="BQ23" s="370"/>
      <c r="BR23" s="371"/>
      <c r="BS23" s="371"/>
      <c r="BT23" s="370"/>
      <c r="BU23" s="370"/>
      <c r="BV23" s="371"/>
      <c r="BW23" s="371"/>
      <c r="BX23" s="370"/>
      <c r="BY23" s="370"/>
      <c r="BZ23" s="371"/>
      <c r="CA23" s="371"/>
      <c r="CB23" s="370"/>
      <c r="CC23" s="370"/>
      <c r="CD23" s="371"/>
      <c r="CE23" s="371"/>
      <c r="CF23" s="370"/>
      <c r="CG23" s="370"/>
      <c r="CH23" s="371"/>
      <c r="CI23" s="371"/>
      <c r="CJ23" s="370"/>
      <c r="CK23" s="370"/>
      <c r="CL23" s="371"/>
      <c r="CM23" s="371"/>
      <c r="CN23" s="370"/>
      <c r="CO23" s="370"/>
      <c r="CP23" s="371"/>
      <c r="CQ23" s="371"/>
      <c r="CR23" s="370"/>
      <c r="CS23" s="370"/>
      <c r="CT23" s="371"/>
      <c r="CU23" s="371"/>
      <c r="CV23" s="370"/>
      <c r="CW23" s="370"/>
      <c r="CX23" s="371"/>
      <c r="CY23" s="371"/>
      <c r="CZ23" s="370"/>
      <c r="DA23" s="370"/>
      <c r="DB23" s="371"/>
      <c r="DC23" s="371"/>
      <c r="DD23" s="370"/>
      <c r="DE23" s="370"/>
      <c r="DF23" s="371"/>
      <c r="DG23" s="371"/>
      <c r="DH23" s="370"/>
      <c r="DI23" s="370"/>
      <c r="DJ23" s="371"/>
      <c r="DK23" s="371"/>
      <c r="DL23" s="370"/>
      <c r="DM23" s="370"/>
      <c r="DN23" s="371"/>
      <c r="DO23" s="371"/>
      <c r="DP23" s="370"/>
      <c r="DQ23" s="370"/>
      <c r="DR23" s="371"/>
      <c r="DS23" s="371"/>
      <c r="DT23" s="370"/>
      <c r="DU23" s="370"/>
      <c r="DV23" s="371"/>
      <c r="DW23" s="371"/>
      <c r="DX23" s="370"/>
      <c r="DY23" s="370"/>
      <c r="DZ23" s="371"/>
      <c r="EA23" s="371"/>
      <c r="EB23" s="370"/>
      <c r="EC23" s="370"/>
      <c r="ED23" s="371"/>
      <c r="EE23" s="371"/>
      <c r="EF23" s="370"/>
      <c r="EG23" s="370"/>
      <c r="EH23" s="371"/>
      <c r="EI23" s="371"/>
      <c r="EJ23" s="370"/>
      <c r="EK23" s="370"/>
      <c r="EL23" s="371"/>
      <c r="EM23" s="371"/>
      <c r="EN23" s="370"/>
      <c r="EO23" s="370"/>
      <c r="EP23" s="371"/>
      <c r="EQ23" s="371"/>
      <c r="ER23" s="370"/>
      <c r="ES23" s="370"/>
      <c r="ET23" s="371"/>
      <c r="EU23" s="371"/>
      <c r="EV23" s="370"/>
      <c r="EW23" s="370"/>
      <c r="EX23" s="371"/>
      <c r="EY23" s="371"/>
      <c r="EZ23" s="370"/>
      <c r="FA23" s="370"/>
      <c r="FB23" s="371"/>
      <c r="FC23" s="371"/>
      <c r="FD23" s="370"/>
      <c r="FE23" s="370"/>
      <c r="FF23" s="371"/>
      <c r="FG23" s="371"/>
      <c r="FH23" s="370"/>
      <c r="FI23" s="370"/>
      <c r="FJ23" s="371"/>
      <c r="FK23" s="371"/>
      <c r="FL23" s="370"/>
      <c r="FM23" s="370"/>
      <c r="FN23" s="371"/>
      <c r="FO23" s="371"/>
      <c r="FP23" s="370"/>
      <c r="FQ23" s="370"/>
      <c r="FR23" s="371"/>
      <c r="FS23" s="371"/>
      <c r="FT23" s="370"/>
      <c r="FU23" s="370"/>
      <c r="FV23" s="371"/>
      <c r="FW23" s="371"/>
      <c r="FX23" s="370"/>
      <c r="FY23" s="370"/>
      <c r="FZ23" s="371"/>
      <c r="GA23" s="371"/>
      <c r="GB23" s="370"/>
      <c r="GC23" s="370"/>
      <c r="GD23" s="371"/>
      <c r="GE23" s="371"/>
      <c r="GF23" s="370"/>
      <c r="GG23" s="370"/>
      <c r="GH23" s="371"/>
      <c r="GI23" s="371"/>
      <c r="GJ23" s="370"/>
      <c r="GK23" s="370"/>
      <c r="GL23" s="371"/>
      <c r="GM23" s="371"/>
      <c r="GN23" s="370"/>
      <c r="GO23" s="370"/>
      <c r="GP23" s="371"/>
      <c r="GQ23" s="371"/>
      <c r="GR23" s="370"/>
      <c r="GS23" s="370"/>
    </row>
    <row r="24">
      <c r="A24" s="367" t="s">
        <v>173</v>
      </c>
      <c r="B24" s="368"/>
      <c r="C24" s="368"/>
      <c r="D24" s="369"/>
      <c r="E24" s="369"/>
      <c r="F24" s="368"/>
      <c r="G24" s="368"/>
      <c r="H24" s="370"/>
      <c r="I24" s="370"/>
      <c r="J24" s="371"/>
      <c r="K24" s="371"/>
      <c r="L24" s="370"/>
      <c r="M24" s="370"/>
      <c r="N24" s="371"/>
      <c r="O24" s="371"/>
      <c r="P24" s="370"/>
      <c r="Q24" s="370"/>
      <c r="R24" s="371"/>
      <c r="S24" s="371"/>
      <c r="T24" s="370"/>
      <c r="U24" s="370"/>
      <c r="V24" s="371"/>
      <c r="W24" s="371"/>
      <c r="X24" s="370"/>
      <c r="Y24" s="370"/>
      <c r="Z24" s="371"/>
      <c r="AA24" s="371"/>
      <c r="AB24" s="370"/>
      <c r="AC24" s="370"/>
      <c r="AD24" s="371"/>
      <c r="AE24" s="371"/>
      <c r="AF24" s="370"/>
      <c r="AG24" s="370"/>
      <c r="AH24" s="371"/>
      <c r="AI24" s="371"/>
      <c r="AJ24" s="370"/>
      <c r="AK24" s="370"/>
      <c r="AL24" s="371"/>
      <c r="AM24" s="371"/>
      <c r="AN24" s="370"/>
      <c r="AO24" s="370"/>
      <c r="AP24" s="371"/>
      <c r="AQ24" s="371"/>
      <c r="AR24" s="370"/>
      <c r="AS24" s="370"/>
      <c r="AT24" s="371"/>
      <c r="AU24" s="371"/>
      <c r="AV24" s="370"/>
      <c r="AW24" s="370"/>
      <c r="AX24" s="371"/>
      <c r="AY24" s="371"/>
      <c r="AZ24" s="370"/>
      <c r="BA24" s="370"/>
      <c r="BB24" s="371"/>
      <c r="BC24" s="371"/>
      <c r="BD24" s="370"/>
      <c r="BE24" s="370"/>
      <c r="BF24" s="371"/>
      <c r="BG24" s="371"/>
      <c r="BH24" s="370"/>
      <c r="BI24" s="370"/>
      <c r="BJ24" s="371"/>
      <c r="BK24" s="371"/>
      <c r="BL24" s="370"/>
      <c r="BM24" s="370"/>
      <c r="BN24" s="371"/>
      <c r="BO24" s="371"/>
      <c r="BP24" s="370"/>
      <c r="BQ24" s="370"/>
      <c r="BR24" s="371"/>
      <c r="BS24" s="371"/>
      <c r="BT24" s="370"/>
      <c r="BU24" s="370"/>
      <c r="BV24" s="371"/>
      <c r="BW24" s="371"/>
      <c r="BX24" s="370"/>
      <c r="BY24" s="370"/>
      <c r="BZ24" s="371"/>
      <c r="CA24" s="371"/>
      <c r="CB24" s="370"/>
      <c r="CC24" s="370"/>
      <c r="CD24" s="371"/>
      <c r="CE24" s="371"/>
      <c r="CF24" s="370"/>
      <c r="CG24" s="370"/>
      <c r="CH24" s="371"/>
      <c r="CI24" s="371"/>
      <c r="CJ24" s="370"/>
      <c r="CK24" s="370"/>
      <c r="CL24" s="371"/>
      <c r="CM24" s="371"/>
      <c r="CN24" s="370"/>
      <c r="CO24" s="370"/>
      <c r="CP24" s="371"/>
      <c r="CQ24" s="371"/>
      <c r="CR24" s="370"/>
      <c r="CS24" s="370"/>
      <c r="CT24" s="371"/>
      <c r="CU24" s="371"/>
      <c r="CV24" s="370"/>
      <c r="CW24" s="370"/>
      <c r="CX24" s="371"/>
      <c r="CY24" s="371"/>
      <c r="CZ24" s="370"/>
      <c r="DA24" s="370"/>
      <c r="DB24" s="371"/>
      <c r="DC24" s="371"/>
      <c r="DD24" s="370"/>
      <c r="DE24" s="370"/>
      <c r="DF24" s="371"/>
      <c r="DG24" s="371"/>
      <c r="DH24" s="370"/>
      <c r="DI24" s="370"/>
      <c r="DJ24" s="371"/>
      <c r="DK24" s="371"/>
      <c r="DL24" s="370"/>
      <c r="DM24" s="370"/>
      <c r="DN24" s="371"/>
      <c r="DO24" s="371"/>
      <c r="DP24" s="370"/>
      <c r="DQ24" s="370"/>
      <c r="DR24" s="371"/>
      <c r="DS24" s="371"/>
      <c r="DT24" s="370"/>
      <c r="DU24" s="370"/>
      <c r="DV24" s="371"/>
      <c r="DW24" s="371"/>
      <c r="DX24" s="370"/>
      <c r="DY24" s="370"/>
      <c r="DZ24" s="371"/>
      <c r="EA24" s="371"/>
      <c r="EB24" s="370"/>
      <c r="EC24" s="370"/>
      <c r="ED24" s="371"/>
      <c r="EE24" s="371"/>
      <c r="EF24" s="370"/>
      <c r="EG24" s="370"/>
      <c r="EH24" s="371"/>
      <c r="EI24" s="371"/>
      <c r="EJ24" s="370"/>
      <c r="EK24" s="370"/>
      <c r="EL24" s="371"/>
      <c r="EM24" s="371"/>
      <c r="EN24" s="370"/>
      <c r="EO24" s="370"/>
      <c r="EP24" s="371"/>
      <c r="EQ24" s="371"/>
      <c r="ER24" s="370"/>
      <c r="ES24" s="370"/>
      <c r="ET24" s="371"/>
      <c r="EU24" s="371"/>
      <c r="EV24" s="370"/>
      <c r="EW24" s="370"/>
      <c r="EX24" s="371"/>
      <c r="EY24" s="371"/>
      <c r="EZ24" s="370"/>
      <c r="FA24" s="370"/>
      <c r="FB24" s="371"/>
      <c r="FC24" s="371"/>
      <c r="FD24" s="370"/>
      <c r="FE24" s="370"/>
      <c r="FF24" s="371"/>
      <c r="FG24" s="371"/>
      <c r="FH24" s="370"/>
      <c r="FI24" s="370"/>
      <c r="FJ24" s="371"/>
      <c r="FK24" s="371"/>
      <c r="FL24" s="370"/>
      <c r="FM24" s="370"/>
      <c r="FN24" s="371"/>
      <c r="FO24" s="371"/>
      <c r="FP24" s="370"/>
      <c r="FQ24" s="370"/>
      <c r="FR24" s="371"/>
      <c r="FS24" s="371"/>
      <c r="FT24" s="370"/>
      <c r="FU24" s="370"/>
      <c r="FV24" s="371"/>
      <c r="FW24" s="371"/>
      <c r="FX24" s="370"/>
      <c r="FY24" s="370"/>
      <c r="FZ24" s="371"/>
      <c r="GA24" s="371"/>
      <c r="GB24" s="370"/>
      <c r="GC24" s="370"/>
      <c r="GD24" s="371"/>
      <c r="GE24" s="371"/>
      <c r="GF24" s="370"/>
      <c r="GG24" s="370"/>
      <c r="GH24" s="371"/>
      <c r="GI24" s="371"/>
      <c r="GJ24" s="370"/>
      <c r="GK24" s="370"/>
      <c r="GL24" s="371"/>
      <c r="GM24" s="371"/>
      <c r="GN24" s="370"/>
      <c r="GO24" s="370"/>
      <c r="GP24" s="371"/>
      <c r="GQ24" s="373"/>
      <c r="GR24" s="374"/>
      <c r="GS24" s="374"/>
    </row>
    <row r="25">
      <c r="A25" s="375"/>
      <c r="B25" s="376"/>
      <c r="C25" s="376"/>
      <c r="F25" s="376"/>
      <c r="G25" s="376"/>
      <c r="J25" s="376"/>
      <c r="K25" s="376"/>
      <c r="N25" s="376"/>
      <c r="O25" s="376"/>
      <c r="R25" s="376"/>
      <c r="S25" s="376"/>
      <c r="T25" s="376"/>
      <c r="U25" s="376"/>
      <c r="V25" s="376"/>
      <c r="W25" s="376"/>
      <c r="X25" s="376"/>
      <c r="Y25" s="376"/>
      <c r="Z25" s="376"/>
      <c r="AA25" s="376"/>
      <c r="AB25" s="376"/>
      <c r="AC25" s="376"/>
      <c r="AD25" s="376"/>
      <c r="AE25" s="376"/>
      <c r="AF25" s="376"/>
      <c r="AG25" s="376"/>
      <c r="AH25" s="376"/>
      <c r="AI25" s="376"/>
      <c r="AJ25" s="376"/>
      <c r="AK25" s="376"/>
      <c r="AL25" s="376"/>
      <c r="AM25" s="376"/>
      <c r="AN25" s="376"/>
      <c r="AO25" s="376"/>
      <c r="AP25" s="376"/>
      <c r="AQ25" s="376"/>
      <c r="AR25" s="376"/>
      <c r="AS25" s="376"/>
      <c r="AT25" s="376"/>
      <c r="AU25" s="376"/>
      <c r="AV25" s="376"/>
      <c r="AW25" s="376"/>
      <c r="AX25" s="376"/>
      <c r="AY25" s="376"/>
      <c r="AZ25" s="376"/>
      <c r="BA25" s="376"/>
      <c r="BB25" s="376"/>
      <c r="BC25" s="376"/>
      <c r="BD25" s="376"/>
      <c r="BE25" s="376"/>
      <c r="BF25" s="376"/>
      <c r="BG25" s="376"/>
      <c r="BH25" s="376"/>
      <c r="BI25" s="376"/>
      <c r="BJ25" s="376"/>
      <c r="BK25" s="376"/>
      <c r="BL25" s="376"/>
      <c r="BM25" s="376"/>
      <c r="BN25" s="376"/>
      <c r="BO25" s="376"/>
      <c r="BP25" s="376"/>
      <c r="BQ25" s="376"/>
      <c r="BR25" s="376"/>
      <c r="BS25" s="376"/>
      <c r="BT25" s="376"/>
      <c r="BU25" s="376"/>
      <c r="BV25" s="376"/>
      <c r="BW25" s="376"/>
      <c r="BX25" s="376"/>
      <c r="BY25" s="376"/>
      <c r="BZ25" s="376"/>
      <c r="CA25" s="376"/>
      <c r="CB25" s="376"/>
      <c r="CC25" s="376"/>
      <c r="CD25" s="376"/>
      <c r="CE25" s="376"/>
      <c r="CF25" s="376"/>
      <c r="CG25" s="376"/>
      <c r="CH25" s="376"/>
      <c r="CI25" s="376"/>
      <c r="CJ25" s="376"/>
      <c r="CK25" s="376"/>
      <c r="CL25" s="376"/>
      <c r="CM25" s="376"/>
      <c r="CN25" s="376"/>
      <c r="CO25" s="376"/>
      <c r="CP25" s="376"/>
      <c r="CQ25" s="376"/>
      <c r="CR25" s="376"/>
      <c r="CS25" s="376"/>
      <c r="CT25" s="376"/>
      <c r="CU25" s="376"/>
      <c r="CV25" s="376"/>
      <c r="CW25" s="376"/>
      <c r="CX25" s="376"/>
      <c r="CY25" s="376"/>
      <c r="CZ25" s="376"/>
      <c r="DA25" s="376"/>
      <c r="DB25" s="376"/>
      <c r="DC25" s="376"/>
      <c r="DD25" s="376"/>
      <c r="DE25" s="376"/>
      <c r="DF25" s="376"/>
      <c r="DG25" s="376"/>
      <c r="DH25" s="376"/>
      <c r="DI25" s="376"/>
      <c r="DJ25" s="376"/>
      <c r="DK25" s="376"/>
      <c r="DL25" s="376"/>
      <c r="DM25" s="376"/>
      <c r="DN25" s="376"/>
      <c r="DO25" s="376"/>
      <c r="DP25" s="376"/>
      <c r="DQ25" s="376"/>
      <c r="DR25" s="376"/>
      <c r="DS25" s="376"/>
      <c r="DT25" s="376"/>
      <c r="DU25" s="376"/>
      <c r="DV25" s="376"/>
      <c r="DW25" s="376"/>
      <c r="DX25" s="376"/>
      <c r="DY25" s="376"/>
      <c r="DZ25" s="376"/>
      <c r="EA25" s="376"/>
      <c r="EB25" s="376"/>
      <c r="EC25" s="376"/>
      <c r="ED25" s="376"/>
      <c r="EE25" s="376"/>
      <c r="EF25" s="376"/>
      <c r="EG25" s="376"/>
      <c r="EH25" s="376"/>
      <c r="EI25" s="376"/>
      <c r="EJ25" s="376"/>
      <c r="EK25" s="376"/>
      <c r="EL25" s="376"/>
      <c r="EM25" s="376"/>
      <c r="EN25" s="376"/>
      <c r="EO25" s="376"/>
      <c r="EP25" s="376"/>
      <c r="EQ25" s="376"/>
      <c r="ER25" s="376"/>
      <c r="ES25" s="376"/>
      <c r="ET25" s="376"/>
      <c r="EU25" s="376"/>
      <c r="EV25" s="376"/>
      <c r="EW25" s="376"/>
      <c r="EX25" s="376"/>
      <c r="EY25" s="376"/>
      <c r="EZ25" s="376"/>
      <c r="FA25" s="376"/>
      <c r="FB25" s="376"/>
      <c r="FC25" s="376"/>
      <c r="FD25" s="376"/>
      <c r="FE25" s="376"/>
      <c r="FF25" s="376"/>
      <c r="FG25" s="376"/>
      <c r="FH25" s="376"/>
      <c r="FI25" s="376"/>
      <c r="FJ25" s="376"/>
      <c r="FK25" s="376"/>
      <c r="FL25" s="376"/>
      <c r="FM25" s="376"/>
      <c r="FN25" s="376"/>
      <c r="FO25" s="376"/>
      <c r="FP25" s="376"/>
      <c r="FQ25" s="376"/>
      <c r="FR25" s="376"/>
      <c r="FS25" s="376"/>
      <c r="FT25" s="376"/>
      <c r="FU25" s="376"/>
      <c r="FV25" s="376"/>
      <c r="FW25" s="376"/>
      <c r="FX25" s="376"/>
      <c r="FY25" s="376"/>
      <c r="FZ25" s="376"/>
      <c r="GA25" s="376"/>
      <c r="GB25" s="376"/>
      <c r="GC25" s="376"/>
      <c r="GD25" s="376"/>
      <c r="GE25" s="376"/>
      <c r="GF25" s="376"/>
      <c r="GG25" s="376"/>
      <c r="GH25" s="376"/>
      <c r="GI25" s="376"/>
      <c r="GJ25" s="376"/>
      <c r="GK25" s="376"/>
      <c r="GL25" s="376"/>
      <c r="GM25" s="376"/>
      <c r="GN25" s="376"/>
      <c r="GO25" s="376"/>
      <c r="GP25" s="376"/>
      <c r="GQ25" s="376"/>
      <c r="GR25" s="376"/>
      <c r="GS25" s="376"/>
    </row>
  </sheetData>
  <mergeCells count="100">
    <mergeCell ref="CV1:CW1"/>
    <mergeCell ref="CX1:CY1"/>
    <mergeCell ref="CZ1:DA1"/>
    <mergeCell ref="DB1:DC1"/>
    <mergeCell ref="DD1:DE1"/>
    <mergeCell ref="DF1:DG1"/>
    <mergeCell ref="DH1:DI1"/>
    <mergeCell ref="DJ1:DK1"/>
    <mergeCell ref="DL1:DM1"/>
    <mergeCell ref="DN1:DO1"/>
    <mergeCell ref="DP1:DQ1"/>
    <mergeCell ref="DR1:DS1"/>
    <mergeCell ref="DT1:DU1"/>
    <mergeCell ref="DV1:DW1"/>
    <mergeCell ref="DX1:DY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FN1:FO1"/>
    <mergeCell ref="FP1:FQ1"/>
    <mergeCell ref="FR1:FS1"/>
    <mergeCell ref="FT1:FU1"/>
    <mergeCell ref="FV1:FW1"/>
    <mergeCell ref="FX1:FY1"/>
    <mergeCell ref="FZ1:GA1"/>
    <mergeCell ref="GP1:GQ1"/>
    <mergeCell ref="GR1:GS1"/>
    <mergeCell ref="GB1:GC1"/>
    <mergeCell ref="GD1:GE1"/>
    <mergeCell ref="GF1:GG1"/>
    <mergeCell ref="GH1:GI1"/>
    <mergeCell ref="GJ1:GK1"/>
    <mergeCell ref="GL1:GM1"/>
    <mergeCell ref="GN1:GO1"/>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 ref="CT1:CU1"/>
  </mergeCells>
  <conditionalFormatting sqref="B4:GS6 B8:C11 F8:G11 J8:K11 N8:O11 R8:S11 V8:W11 Z8:AA11 AD8:AE11 AH8:AI11 AL8:AM11 AP8:AQ11 AT8:AU11 AX8:AY11 BB8:BC11 BF8:BG11 BJ8:BK11 BN8:BO11 BR8:BS11 BV8:BW11 BZ8:CA11 CD8:CE11 CH8:CI11 CL8:CM11 CP8:CQ11 CT8:CU11 CX8:CY11 DB8:DC11 DF8:DG11 DJ8:DK11 DN8:DO11 DR8:DS11 DV8:DW11 DZ8:EA11 ED8:EE11 EH8:EI11 EL8:EM11 EP8:EQ11 ET8:EU11 EX8:EY11 FB8:FC11 FF8:FG11 FJ8:FK11 FN8:FO11 FR8:FS11 FV8:FW11 FZ8:GA11 GD8:GE11 GH8:GI11 GL8:GM11 B13:C15 F13:G15 J13:K15 N13:O15 R13:S15 V13:W15 Z13:AA15 AD13:AE15 AH13:AI15 AL13:AM15 AP13:AQ15 AT13:AU15 AX13:AY15 BB13:BC15 BF13:BG15 BJ13:BK15 BN13:BO15 BR13:BS15 BV13:BW15 BZ13:CA15 CD13:CE15 CH13:CI15 CL13:CM15 CP13:CQ15 CT13:CU15 CX13:CY15 DB13:DC15 DF13:DG15 DJ13:DK15 DN13:DO15 DR13:DS15 DV13:DW15 DZ13:EA15 ED13:EE15 EH13:EI15 EL13:EM15 EP13:EQ15 ET13:EU15 EX13:EY15 FB13:FC15 FF13:FG15 FJ13:FK15 FN13:FO15 FR13:FS15 FV13:FW15 FZ13:GA15 GD13:GE15 GH13:GI15 GL13:GM15 B17:C19 F17:G19 J17:K19 N17:O19 R17:S19 V17:W19 Z17:AA19 AD17:AE19 AH17:AI19 AL17:AM19 AP17:AQ19 AT17:AU19 AX17:AY19 BB17:BC19 BF17:BG19 BJ17:BK19 BN17:BO19 BR17:BS19 BV17:BW19 BZ17:CA19 CD17:CE19 CH17:CI19 CL17:CM19 CP17:CQ19 CT17:CU19 CX17:CY19 DB17:DC19 DF17:DG19 DJ17:DK19 DN17:DO19 DR17:DS19 DV17:DW19 DZ17:EA19 ED17:EE19 EH17:EI19 EL17:EM19 EP17:EQ19 ET17:EU19 EX17:EY19 FB17:FC19 FF17:FG19 FJ17:FK19 FN17:FO19 FR17:FS19 FV17:FW19 FZ17:GA19 GD17:GE19 GH17:GI19 GL17:GM19 B21:C24 F21:G24 J21:K24 N21:O24 R21:S24 V21:W24 Z21:AA24 AD21:AE24 AH21:AI24 AL21:AM24 AP21:AQ24 AT21:AU24 AX21:AY24 BB21:BC24 BF21:BG24 BJ21:BK24 BN21:BO24 BR21:BS24 BV21:BW24 BZ21:CA24 CD21:CE24 CH21:CI24 CL21:CM24 CP21:CQ24 CT21:CU24 CX21:CY24 DB21:DC24 DF21:DG24 DJ21:DK24 DN21:DO24 DR21:DS24 DV21:DW24 DZ21:EA24 ED21:EE24 EH21:EI24 EL21:EM24 EP21:EQ24 ET21:EU24 EX21:EY24 FB21:FC24 FF21:FG24 FJ21:FK24 FN21:FO24 FR21:FS24 FV21:FW24 FZ21:GA24 GD21:GE24 GH21:GI24 GL21:GM24">
    <cfRule type="expression" dxfId="20" priority="1">
      <formula>ifcolor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0.75"/>
    <col customWidth="1" min="2" max="201" width="3.88"/>
  </cols>
  <sheetData>
    <row r="1">
      <c r="A1" s="355" t="s">
        <v>148</v>
      </c>
      <c r="B1" s="359"/>
      <c r="D1" s="360"/>
      <c r="F1" s="359"/>
      <c r="H1" s="358"/>
      <c r="J1" s="359"/>
      <c r="L1" s="358"/>
      <c r="N1" s="359"/>
      <c r="P1" s="360"/>
      <c r="R1" s="361"/>
      <c r="T1" s="360"/>
      <c r="V1" s="359"/>
      <c r="X1" s="358"/>
      <c r="Z1" s="359"/>
      <c r="AB1" s="358"/>
      <c r="AD1" s="359"/>
      <c r="AF1" s="360"/>
      <c r="AH1" s="361"/>
      <c r="AJ1" s="360"/>
      <c r="AL1" s="359"/>
      <c r="AN1" s="358"/>
      <c r="AP1" s="359"/>
      <c r="AR1" s="358"/>
      <c r="AT1" s="359"/>
      <c r="AV1" s="360"/>
      <c r="AX1" s="361"/>
      <c r="AZ1" s="360"/>
      <c r="BB1" s="359"/>
      <c r="BD1" s="358"/>
      <c r="BF1" s="359"/>
      <c r="BH1" s="358"/>
      <c r="BJ1" s="359"/>
      <c r="BL1" s="360"/>
      <c r="BN1" s="361"/>
      <c r="BP1" s="360"/>
      <c r="BR1" s="359"/>
      <c r="BT1" s="358"/>
      <c r="BV1" s="359"/>
      <c r="BX1" s="358"/>
      <c r="BZ1" s="359"/>
      <c r="CB1" s="360"/>
      <c r="CD1" s="361"/>
      <c r="CF1" s="360"/>
      <c r="CH1" s="359"/>
      <c r="CJ1" s="358"/>
      <c r="CL1" s="359"/>
      <c r="CN1" s="358"/>
      <c r="CP1" s="359"/>
      <c r="CR1" s="360"/>
      <c r="CT1" s="361"/>
      <c r="CV1" s="360"/>
      <c r="CX1" s="359"/>
      <c r="CZ1" s="358"/>
      <c r="DB1" s="359"/>
      <c r="DD1" s="358"/>
      <c r="DF1" s="359"/>
      <c r="DH1" s="360"/>
      <c r="DJ1" s="361"/>
      <c r="DL1" s="360"/>
      <c r="DN1" s="359"/>
      <c r="DP1" s="358"/>
      <c r="DR1" s="359"/>
      <c r="DT1" s="358"/>
      <c r="DV1" s="359"/>
      <c r="DX1" s="360"/>
      <c r="DZ1" s="361"/>
      <c r="EB1" s="360"/>
      <c r="ED1" s="359"/>
      <c r="EF1" s="358"/>
      <c r="EH1" s="359"/>
      <c r="EJ1" s="358"/>
      <c r="EL1" s="359"/>
      <c r="EN1" s="358"/>
      <c r="EP1" s="359"/>
      <c r="ER1" s="358"/>
      <c r="ET1" s="359"/>
      <c r="EV1" s="358"/>
      <c r="EX1" s="359"/>
      <c r="EZ1" s="358"/>
      <c r="FB1" s="359"/>
      <c r="FD1" s="358"/>
      <c r="FF1" s="359"/>
      <c r="FH1" s="358"/>
      <c r="FJ1" s="359"/>
      <c r="FL1" s="358"/>
      <c r="FN1" s="359"/>
      <c r="FP1" s="358"/>
      <c r="FR1" s="359"/>
      <c r="FT1" s="358"/>
      <c r="FV1" s="359"/>
      <c r="FX1" s="358"/>
      <c r="FZ1" s="359"/>
      <c r="GB1" s="358"/>
      <c r="GD1" s="359"/>
      <c r="GF1" s="358"/>
      <c r="GH1" s="359"/>
      <c r="GJ1" s="358"/>
      <c r="GL1" s="359"/>
      <c r="GN1" s="358"/>
      <c r="GP1" s="359"/>
      <c r="GR1" s="358"/>
    </row>
    <row r="2">
      <c r="A2" s="355" t="s">
        <v>174</v>
      </c>
      <c r="B2" s="364" t="s">
        <v>150</v>
      </c>
      <c r="C2" s="364" t="s">
        <v>151</v>
      </c>
      <c r="D2" s="355" t="s">
        <v>150</v>
      </c>
      <c r="E2" s="355" t="s">
        <v>151</v>
      </c>
      <c r="F2" s="364" t="s">
        <v>150</v>
      </c>
      <c r="G2" s="364" t="s">
        <v>151</v>
      </c>
      <c r="H2" s="355" t="s">
        <v>150</v>
      </c>
      <c r="I2" s="355" t="s">
        <v>151</v>
      </c>
      <c r="J2" s="364" t="s">
        <v>150</v>
      </c>
      <c r="K2" s="364" t="s">
        <v>151</v>
      </c>
      <c r="L2" s="355" t="s">
        <v>150</v>
      </c>
      <c r="M2" s="355" t="s">
        <v>151</v>
      </c>
      <c r="N2" s="364" t="s">
        <v>150</v>
      </c>
      <c r="O2" s="364" t="s">
        <v>151</v>
      </c>
      <c r="P2" s="355" t="s">
        <v>150</v>
      </c>
      <c r="Q2" s="355" t="s">
        <v>151</v>
      </c>
      <c r="R2" s="364" t="s">
        <v>150</v>
      </c>
      <c r="S2" s="364" t="s">
        <v>151</v>
      </c>
      <c r="T2" s="355" t="s">
        <v>150</v>
      </c>
      <c r="U2" s="355" t="s">
        <v>151</v>
      </c>
      <c r="V2" s="364" t="s">
        <v>150</v>
      </c>
      <c r="W2" s="364" t="s">
        <v>151</v>
      </c>
      <c r="X2" s="355" t="s">
        <v>150</v>
      </c>
      <c r="Y2" s="355" t="s">
        <v>151</v>
      </c>
      <c r="Z2" s="364" t="s">
        <v>150</v>
      </c>
      <c r="AA2" s="364" t="s">
        <v>151</v>
      </c>
      <c r="AB2" s="355" t="s">
        <v>150</v>
      </c>
      <c r="AC2" s="355" t="s">
        <v>151</v>
      </c>
      <c r="AD2" s="364" t="s">
        <v>150</v>
      </c>
      <c r="AE2" s="364" t="s">
        <v>151</v>
      </c>
      <c r="AF2" s="355" t="s">
        <v>150</v>
      </c>
      <c r="AG2" s="355" t="s">
        <v>151</v>
      </c>
      <c r="AH2" s="364" t="s">
        <v>150</v>
      </c>
      <c r="AI2" s="364" t="s">
        <v>151</v>
      </c>
      <c r="AJ2" s="355" t="s">
        <v>150</v>
      </c>
      <c r="AK2" s="355" t="s">
        <v>151</v>
      </c>
      <c r="AL2" s="364" t="s">
        <v>150</v>
      </c>
      <c r="AM2" s="364" t="s">
        <v>151</v>
      </c>
      <c r="AN2" s="355" t="s">
        <v>150</v>
      </c>
      <c r="AO2" s="355" t="s">
        <v>151</v>
      </c>
      <c r="AP2" s="364" t="s">
        <v>150</v>
      </c>
      <c r="AQ2" s="364" t="s">
        <v>151</v>
      </c>
      <c r="AR2" s="355" t="s">
        <v>150</v>
      </c>
      <c r="AS2" s="355" t="s">
        <v>151</v>
      </c>
      <c r="AT2" s="364" t="s">
        <v>150</v>
      </c>
      <c r="AU2" s="364" t="s">
        <v>151</v>
      </c>
      <c r="AV2" s="355" t="s">
        <v>150</v>
      </c>
      <c r="AW2" s="355" t="s">
        <v>151</v>
      </c>
      <c r="AX2" s="364" t="s">
        <v>150</v>
      </c>
      <c r="AY2" s="364" t="s">
        <v>151</v>
      </c>
      <c r="AZ2" s="355" t="s">
        <v>150</v>
      </c>
      <c r="BA2" s="355" t="s">
        <v>151</v>
      </c>
      <c r="BB2" s="364" t="s">
        <v>150</v>
      </c>
      <c r="BC2" s="364" t="s">
        <v>151</v>
      </c>
      <c r="BD2" s="355" t="s">
        <v>150</v>
      </c>
      <c r="BE2" s="355" t="s">
        <v>151</v>
      </c>
      <c r="BF2" s="364" t="s">
        <v>150</v>
      </c>
      <c r="BG2" s="364" t="s">
        <v>151</v>
      </c>
      <c r="BH2" s="355" t="s">
        <v>150</v>
      </c>
      <c r="BI2" s="355" t="s">
        <v>151</v>
      </c>
      <c r="BJ2" s="364" t="s">
        <v>150</v>
      </c>
      <c r="BK2" s="364" t="s">
        <v>151</v>
      </c>
      <c r="BL2" s="355" t="s">
        <v>150</v>
      </c>
      <c r="BM2" s="355" t="s">
        <v>151</v>
      </c>
      <c r="BN2" s="364" t="s">
        <v>150</v>
      </c>
      <c r="BO2" s="364" t="s">
        <v>151</v>
      </c>
      <c r="BP2" s="355" t="s">
        <v>150</v>
      </c>
      <c r="BQ2" s="355" t="s">
        <v>151</v>
      </c>
      <c r="BR2" s="364" t="s">
        <v>150</v>
      </c>
      <c r="BS2" s="364" t="s">
        <v>151</v>
      </c>
      <c r="BT2" s="355" t="s">
        <v>150</v>
      </c>
      <c r="BU2" s="355" t="s">
        <v>151</v>
      </c>
      <c r="BV2" s="364" t="s">
        <v>150</v>
      </c>
      <c r="BW2" s="364" t="s">
        <v>151</v>
      </c>
      <c r="BX2" s="355" t="s">
        <v>150</v>
      </c>
      <c r="BY2" s="355" t="s">
        <v>151</v>
      </c>
      <c r="BZ2" s="364" t="s">
        <v>150</v>
      </c>
      <c r="CA2" s="364" t="s">
        <v>151</v>
      </c>
      <c r="CB2" s="355" t="s">
        <v>150</v>
      </c>
      <c r="CC2" s="355" t="s">
        <v>151</v>
      </c>
      <c r="CD2" s="364" t="s">
        <v>150</v>
      </c>
      <c r="CE2" s="364" t="s">
        <v>151</v>
      </c>
      <c r="CF2" s="355" t="s">
        <v>150</v>
      </c>
      <c r="CG2" s="355" t="s">
        <v>151</v>
      </c>
      <c r="CH2" s="364" t="s">
        <v>150</v>
      </c>
      <c r="CI2" s="364" t="s">
        <v>151</v>
      </c>
      <c r="CJ2" s="355" t="s">
        <v>150</v>
      </c>
      <c r="CK2" s="355" t="s">
        <v>151</v>
      </c>
      <c r="CL2" s="364" t="s">
        <v>150</v>
      </c>
      <c r="CM2" s="364" t="s">
        <v>151</v>
      </c>
      <c r="CN2" s="355" t="s">
        <v>150</v>
      </c>
      <c r="CO2" s="355" t="s">
        <v>151</v>
      </c>
      <c r="CP2" s="364" t="s">
        <v>150</v>
      </c>
      <c r="CQ2" s="364" t="s">
        <v>151</v>
      </c>
      <c r="CR2" s="355" t="s">
        <v>150</v>
      </c>
      <c r="CS2" s="355" t="s">
        <v>151</v>
      </c>
      <c r="CT2" s="364" t="s">
        <v>150</v>
      </c>
      <c r="CU2" s="364" t="s">
        <v>151</v>
      </c>
      <c r="CV2" s="355" t="s">
        <v>150</v>
      </c>
      <c r="CW2" s="355" t="s">
        <v>151</v>
      </c>
      <c r="CX2" s="364" t="s">
        <v>150</v>
      </c>
      <c r="CY2" s="364" t="s">
        <v>151</v>
      </c>
      <c r="CZ2" s="355" t="s">
        <v>150</v>
      </c>
      <c r="DA2" s="355" t="s">
        <v>151</v>
      </c>
      <c r="DB2" s="364" t="s">
        <v>150</v>
      </c>
      <c r="DC2" s="364" t="s">
        <v>151</v>
      </c>
      <c r="DD2" s="355" t="s">
        <v>150</v>
      </c>
      <c r="DE2" s="355" t="s">
        <v>151</v>
      </c>
      <c r="DF2" s="364" t="s">
        <v>150</v>
      </c>
      <c r="DG2" s="364" t="s">
        <v>151</v>
      </c>
      <c r="DH2" s="355" t="s">
        <v>150</v>
      </c>
      <c r="DI2" s="355" t="s">
        <v>151</v>
      </c>
      <c r="DJ2" s="364" t="s">
        <v>150</v>
      </c>
      <c r="DK2" s="364" t="s">
        <v>151</v>
      </c>
      <c r="DL2" s="355" t="s">
        <v>150</v>
      </c>
      <c r="DM2" s="355" t="s">
        <v>151</v>
      </c>
      <c r="DN2" s="364" t="s">
        <v>150</v>
      </c>
      <c r="DO2" s="364" t="s">
        <v>151</v>
      </c>
      <c r="DP2" s="355" t="s">
        <v>150</v>
      </c>
      <c r="DQ2" s="355" t="s">
        <v>151</v>
      </c>
      <c r="DR2" s="364" t="s">
        <v>150</v>
      </c>
      <c r="DS2" s="364" t="s">
        <v>151</v>
      </c>
      <c r="DT2" s="355" t="s">
        <v>150</v>
      </c>
      <c r="DU2" s="355" t="s">
        <v>151</v>
      </c>
      <c r="DV2" s="364" t="s">
        <v>150</v>
      </c>
      <c r="DW2" s="364" t="s">
        <v>151</v>
      </c>
      <c r="DX2" s="355" t="s">
        <v>150</v>
      </c>
      <c r="DY2" s="355" t="s">
        <v>151</v>
      </c>
      <c r="DZ2" s="364" t="s">
        <v>150</v>
      </c>
      <c r="EA2" s="364" t="s">
        <v>151</v>
      </c>
      <c r="EB2" s="355" t="s">
        <v>150</v>
      </c>
      <c r="EC2" s="355" t="s">
        <v>151</v>
      </c>
      <c r="ED2" s="364" t="s">
        <v>150</v>
      </c>
      <c r="EE2" s="364" t="s">
        <v>151</v>
      </c>
      <c r="EF2" s="355" t="s">
        <v>150</v>
      </c>
      <c r="EG2" s="355" t="s">
        <v>151</v>
      </c>
      <c r="EH2" s="364" t="s">
        <v>150</v>
      </c>
      <c r="EI2" s="364" t="s">
        <v>151</v>
      </c>
      <c r="EJ2" s="355" t="s">
        <v>150</v>
      </c>
      <c r="EK2" s="355" t="s">
        <v>151</v>
      </c>
      <c r="EL2" s="364" t="s">
        <v>150</v>
      </c>
      <c r="EM2" s="364" t="s">
        <v>151</v>
      </c>
      <c r="EN2" s="355" t="s">
        <v>150</v>
      </c>
      <c r="EO2" s="355" t="s">
        <v>151</v>
      </c>
      <c r="EP2" s="364" t="s">
        <v>150</v>
      </c>
      <c r="EQ2" s="364" t="s">
        <v>151</v>
      </c>
      <c r="ER2" s="355" t="s">
        <v>150</v>
      </c>
      <c r="ES2" s="355" t="s">
        <v>151</v>
      </c>
      <c r="ET2" s="364" t="s">
        <v>150</v>
      </c>
      <c r="EU2" s="364" t="s">
        <v>151</v>
      </c>
      <c r="EV2" s="355" t="s">
        <v>150</v>
      </c>
      <c r="EW2" s="355" t="s">
        <v>151</v>
      </c>
      <c r="EX2" s="364" t="s">
        <v>150</v>
      </c>
      <c r="EY2" s="364" t="s">
        <v>151</v>
      </c>
      <c r="EZ2" s="355" t="s">
        <v>150</v>
      </c>
      <c r="FA2" s="355" t="s">
        <v>151</v>
      </c>
      <c r="FB2" s="364" t="s">
        <v>150</v>
      </c>
      <c r="FC2" s="364" t="s">
        <v>151</v>
      </c>
      <c r="FD2" s="355" t="s">
        <v>150</v>
      </c>
      <c r="FE2" s="355" t="s">
        <v>151</v>
      </c>
      <c r="FF2" s="364" t="s">
        <v>150</v>
      </c>
      <c r="FG2" s="364" t="s">
        <v>151</v>
      </c>
      <c r="FH2" s="355" t="s">
        <v>150</v>
      </c>
      <c r="FI2" s="355" t="s">
        <v>151</v>
      </c>
      <c r="FJ2" s="364" t="s">
        <v>150</v>
      </c>
      <c r="FK2" s="364" t="s">
        <v>151</v>
      </c>
      <c r="FL2" s="355" t="s">
        <v>150</v>
      </c>
      <c r="FM2" s="355" t="s">
        <v>151</v>
      </c>
      <c r="FN2" s="364" t="s">
        <v>150</v>
      </c>
      <c r="FO2" s="364" t="s">
        <v>151</v>
      </c>
      <c r="FP2" s="355" t="s">
        <v>150</v>
      </c>
      <c r="FQ2" s="355" t="s">
        <v>151</v>
      </c>
      <c r="FR2" s="364" t="s">
        <v>150</v>
      </c>
      <c r="FS2" s="364" t="s">
        <v>151</v>
      </c>
      <c r="FT2" s="355" t="s">
        <v>150</v>
      </c>
      <c r="FU2" s="355" t="s">
        <v>151</v>
      </c>
      <c r="FV2" s="364" t="s">
        <v>150</v>
      </c>
      <c r="FW2" s="364" t="s">
        <v>151</v>
      </c>
      <c r="FX2" s="355" t="s">
        <v>150</v>
      </c>
      <c r="FY2" s="355" t="s">
        <v>151</v>
      </c>
      <c r="FZ2" s="364" t="s">
        <v>150</v>
      </c>
      <c r="GA2" s="364" t="s">
        <v>151</v>
      </c>
      <c r="GB2" s="355" t="s">
        <v>150</v>
      </c>
      <c r="GC2" s="355" t="s">
        <v>151</v>
      </c>
      <c r="GD2" s="364" t="s">
        <v>150</v>
      </c>
      <c r="GE2" s="364" t="s">
        <v>151</v>
      </c>
      <c r="GF2" s="355" t="s">
        <v>150</v>
      </c>
      <c r="GG2" s="355" t="s">
        <v>151</v>
      </c>
      <c r="GH2" s="364" t="s">
        <v>150</v>
      </c>
      <c r="GI2" s="364" t="s">
        <v>151</v>
      </c>
      <c r="GJ2" s="355" t="s">
        <v>150</v>
      </c>
      <c r="GK2" s="355" t="s">
        <v>151</v>
      </c>
      <c r="GL2" s="364" t="s">
        <v>150</v>
      </c>
      <c r="GM2" s="364" t="s">
        <v>151</v>
      </c>
      <c r="GN2" s="355" t="s">
        <v>150</v>
      </c>
      <c r="GO2" s="355" t="s">
        <v>151</v>
      </c>
      <c r="GP2" s="364" t="s">
        <v>150</v>
      </c>
      <c r="GQ2" s="364" t="s">
        <v>151</v>
      </c>
      <c r="GR2" s="355" t="s">
        <v>150</v>
      </c>
      <c r="GS2" s="355" t="s">
        <v>151</v>
      </c>
    </row>
    <row r="3">
      <c r="A3" s="365" t="s">
        <v>175</v>
      </c>
      <c r="B3" s="365"/>
      <c r="C3" s="365"/>
      <c r="D3" s="365"/>
      <c r="E3" s="365"/>
      <c r="F3" s="365"/>
      <c r="G3" s="365"/>
      <c r="H3" s="365"/>
      <c r="I3" s="365"/>
      <c r="J3" s="365"/>
      <c r="K3" s="365"/>
      <c r="L3" s="365"/>
      <c r="M3" s="365"/>
      <c r="N3" s="365"/>
      <c r="O3" s="365"/>
      <c r="P3" s="365"/>
      <c r="Q3" s="365"/>
      <c r="R3" s="365"/>
      <c r="S3" s="365"/>
      <c r="T3" s="365"/>
      <c r="U3" s="365"/>
      <c r="V3" s="365"/>
      <c r="W3" s="365"/>
      <c r="X3" s="365"/>
      <c r="Y3" s="365"/>
      <c r="Z3" s="365"/>
      <c r="AA3" s="365"/>
      <c r="AB3" s="365"/>
      <c r="AC3" s="365"/>
      <c r="AD3" s="365"/>
      <c r="AE3" s="365"/>
      <c r="AF3" s="365"/>
      <c r="AG3" s="365"/>
      <c r="AH3" s="365"/>
      <c r="AI3" s="365"/>
      <c r="AJ3" s="365"/>
      <c r="AK3" s="365"/>
      <c r="AL3" s="365"/>
      <c r="AM3" s="365"/>
      <c r="AN3" s="365"/>
      <c r="AO3" s="365"/>
      <c r="AP3" s="365"/>
      <c r="AQ3" s="365"/>
      <c r="AR3" s="365"/>
      <c r="AS3" s="365"/>
      <c r="AT3" s="365"/>
      <c r="AU3" s="365"/>
      <c r="AV3" s="365"/>
      <c r="AW3" s="365"/>
      <c r="AX3" s="365"/>
      <c r="AY3" s="365"/>
      <c r="AZ3" s="365"/>
      <c r="BA3" s="365"/>
      <c r="BB3" s="365"/>
      <c r="BC3" s="365"/>
      <c r="BD3" s="365"/>
      <c r="BE3" s="365"/>
      <c r="BF3" s="365"/>
      <c r="BG3" s="365"/>
      <c r="BH3" s="365"/>
      <c r="BI3" s="365"/>
      <c r="BJ3" s="365"/>
      <c r="BK3" s="365"/>
      <c r="BL3" s="365"/>
      <c r="BM3" s="365"/>
      <c r="BN3" s="365"/>
      <c r="BO3" s="365"/>
      <c r="BP3" s="365"/>
      <c r="BQ3" s="365"/>
      <c r="BR3" s="365"/>
      <c r="BS3" s="365"/>
      <c r="BT3" s="365"/>
      <c r="BU3" s="365"/>
      <c r="BV3" s="365"/>
      <c r="BW3" s="365"/>
      <c r="BX3" s="365"/>
      <c r="BY3" s="365"/>
      <c r="BZ3" s="365"/>
      <c r="CA3" s="365"/>
      <c r="CB3" s="365"/>
      <c r="CC3" s="365"/>
      <c r="CD3" s="365"/>
      <c r="CE3" s="365"/>
      <c r="CF3" s="365"/>
      <c r="CG3" s="365"/>
      <c r="CH3" s="365"/>
      <c r="CI3" s="365"/>
      <c r="CJ3" s="365"/>
      <c r="CK3" s="365"/>
      <c r="CL3" s="365"/>
      <c r="CM3" s="365"/>
      <c r="CN3" s="365"/>
      <c r="CO3" s="365"/>
      <c r="CP3" s="365"/>
      <c r="CQ3" s="365"/>
      <c r="CR3" s="365"/>
      <c r="CS3" s="365"/>
      <c r="CT3" s="365"/>
      <c r="CU3" s="365"/>
      <c r="CV3" s="365"/>
      <c r="CW3" s="365"/>
      <c r="CX3" s="365"/>
      <c r="CY3" s="365"/>
      <c r="CZ3" s="365"/>
      <c r="DA3" s="365"/>
      <c r="DB3" s="365"/>
      <c r="DC3" s="365"/>
      <c r="DD3" s="365"/>
      <c r="DE3" s="365"/>
      <c r="DF3" s="365"/>
      <c r="DG3" s="365"/>
      <c r="DH3" s="365"/>
      <c r="DI3" s="365"/>
      <c r="DJ3" s="365"/>
      <c r="DK3" s="365"/>
      <c r="DL3" s="365"/>
      <c r="DM3" s="365"/>
      <c r="DN3" s="365"/>
      <c r="DO3" s="365"/>
      <c r="DP3" s="365"/>
      <c r="DQ3" s="365"/>
      <c r="DR3" s="365"/>
      <c r="DS3" s="365"/>
      <c r="DT3" s="365"/>
      <c r="DU3" s="365"/>
      <c r="DV3" s="365"/>
      <c r="DW3" s="365"/>
      <c r="DX3" s="365"/>
      <c r="DY3" s="365"/>
      <c r="DZ3" s="365"/>
      <c r="EA3" s="365"/>
      <c r="EB3" s="365"/>
      <c r="EC3" s="365"/>
      <c r="ED3" s="365"/>
      <c r="EE3" s="365"/>
      <c r="EF3" s="365"/>
      <c r="EG3" s="365"/>
      <c r="EH3" s="365"/>
      <c r="EI3" s="365"/>
      <c r="EJ3" s="365"/>
      <c r="EK3" s="365"/>
      <c r="EL3" s="365"/>
      <c r="EM3" s="365"/>
      <c r="EN3" s="365"/>
      <c r="EO3" s="365"/>
      <c r="EP3" s="365"/>
      <c r="EQ3" s="365"/>
      <c r="ER3" s="365"/>
      <c r="ES3" s="365"/>
      <c r="ET3" s="365"/>
      <c r="EU3" s="365"/>
      <c r="EV3" s="365"/>
      <c r="EW3" s="365"/>
      <c r="EX3" s="365"/>
      <c r="EY3" s="365"/>
      <c r="EZ3" s="365"/>
      <c r="FA3" s="365"/>
      <c r="FB3" s="365"/>
      <c r="FC3" s="365"/>
      <c r="FD3" s="365"/>
      <c r="FE3" s="365"/>
      <c r="FF3" s="365"/>
      <c r="FG3" s="365"/>
      <c r="FH3" s="365"/>
      <c r="FI3" s="365"/>
      <c r="FJ3" s="365"/>
      <c r="FK3" s="365"/>
      <c r="FL3" s="365"/>
      <c r="FM3" s="365"/>
      <c r="FN3" s="365"/>
      <c r="FO3" s="365"/>
      <c r="FP3" s="365"/>
      <c r="FQ3" s="365"/>
      <c r="FR3" s="365"/>
      <c r="FS3" s="365"/>
      <c r="FT3" s="365"/>
      <c r="FU3" s="365"/>
      <c r="FV3" s="365"/>
      <c r="FW3" s="365"/>
      <c r="FX3" s="365"/>
      <c r="FY3" s="365"/>
      <c r="FZ3" s="365"/>
      <c r="GA3" s="365"/>
      <c r="GB3" s="365"/>
      <c r="GC3" s="365"/>
      <c r="GD3" s="365"/>
      <c r="GE3" s="365"/>
      <c r="GF3" s="365"/>
      <c r="GG3" s="365"/>
      <c r="GH3" s="365"/>
      <c r="GI3" s="365"/>
      <c r="GJ3" s="365"/>
      <c r="GK3" s="365"/>
      <c r="GL3" s="365"/>
      <c r="GM3" s="365"/>
      <c r="GN3" s="365"/>
      <c r="GO3" s="365"/>
      <c r="GP3" s="365"/>
      <c r="GQ3" s="365"/>
      <c r="GR3" s="365"/>
      <c r="GS3" s="365"/>
    </row>
    <row r="4">
      <c r="A4" s="367" t="s">
        <v>176</v>
      </c>
      <c r="B4" s="371"/>
      <c r="C4" s="371"/>
      <c r="D4" s="370"/>
      <c r="E4" s="370"/>
      <c r="F4" s="371"/>
      <c r="G4" s="371"/>
      <c r="H4" s="370"/>
      <c r="I4" s="370"/>
      <c r="J4" s="371"/>
      <c r="K4" s="371"/>
      <c r="L4" s="370"/>
      <c r="M4" s="370"/>
      <c r="N4" s="371"/>
      <c r="O4" s="371"/>
      <c r="P4" s="370"/>
      <c r="Q4" s="370"/>
      <c r="R4" s="371"/>
      <c r="S4" s="371"/>
      <c r="T4" s="370"/>
      <c r="U4" s="370"/>
      <c r="V4" s="371"/>
      <c r="W4" s="371"/>
      <c r="X4" s="370"/>
      <c r="Y4" s="370"/>
      <c r="Z4" s="371"/>
      <c r="AA4" s="371"/>
      <c r="AB4" s="370"/>
      <c r="AC4" s="370"/>
      <c r="AD4" s="371"/>
      <c r="AE4" s="371"/>
      <c r="AF4" s="370"/>
      <c r="AG4" s="370"/>
      <c r="AH4" s="371"/>
      <c r="AI4" s="371"/>
      <c r="AJ4" s="370"/>
      <c r="AK4" s="370"/>
      <c r="AL4" s="371"/>
      <c r="AM4" s="371"/>
      <c r="AN4" s="370"/>
      <c r="AO4" s="370"/>
      <c r="AP4" s="371"/>
      <c r="AQ4" s="371"/>
      <c r="AR4" s="370"/>
      <c r="AS4" s="370"/>
      <c r="AT4" s="371"/>
      <c r="AU4" s="371"/>
      <c r="AV4" s="370"/>
      <c r="AW4" s="370"/>
      <c r="AX4" s="371"/>
      <c r="AY4" s="371"/>
      <c r="AZ4" s="370"/>
      <c r="BA4" s="370"/>
      <c r="BB4" s="371"/>
      <c r="BC4" s="371"/>
      <c r="BD4" s="370"/>
      <c r="BE4" s="370"/>
      <c r="BF4" s="371"/>
      <c r="BG4" s="371"/>
      <c r="BH4" s="370"/>
      <c r="BI4" s="370"/>
      <c r="BJ4" s="371"/>
      <c r="BK4" s="371"/>
      <c r="BL4" s="370"/>
      <c r="BM4" s="370"/>
      <c r="BN4" s="371"/>
      <c r="BO4" s="371"/>
      <c r="BP4" s="370"/>
      <c r="BQ4" s="370"/>
      <c r="BR4" s="371"/>
      <c r="BS4" s="371"/>
      <c r="BT4" s="370"/>
      <c r="BU4" s="370"/>
      <c r="BV4" s="371"/>
      <c r="BW4" s="371"/>
      <c r="BX4" s="370"/>
      <c r="BY4" s="370"/>
      <c r="BZ4" s="371"/>
      <c r="CA4" s="371"/>
      <c r="CB4" s="370"/>
      <c r="CC4" s="370"/>
      <c r="CD4" s="371"/>
      <c r="CE4" s="371"/>
      <c r="CF4" s="370"/>
      <c r="CG4" s="370"/>
      <c r="CH4" s="371"/>
      <c r="CI4" s="371"/>
      <c r="CJ4" s="370"/>
      <c r="CK4" s="370"/>
      <c r="CL4" s="371"/>
      <c r="CM4" s="371"/>
      <c r="CN4" s="370"/>
      <c r="CO4" s="370"/>
      <c r="CP4" s="371"/>
      <c r="CQ4" s="371"/>
      <c r="CR4" s="370"/>
      <c r="CS4" s="370"/>
      <c r="CT4" s="371"/>
      <c r="CU4" s="371"/>
      <c r="CV4" s="370"/>
      <c r="CW4" s="370"/>
      <c r="CX4" s="371"/>
      <c r="CY4" s="371"/>
      <c r="CZ4" s="370"/>
      <c r="DA4" s="370"/>
      <c r="DB4" s="371"/>
      <c r="DC4" s="371"/>
      <c r="DD4" s="370"/>
      <c r="DE4" s="370"/>
      <c r="DF4" s="371"/>
      <c r="DG4" s="371"/>
      <c r="DH4" s="370"/>
      <c r="DI4" s="370"/>
      <c r="DJ4" s="371"/>
      <c r="DK4" s="371"/>
      <c r="DL4" s="370"/>
      <c r="DM4" s="370"/>
      <c r="DN4" s="371"/>
      <c r="DO4" s="371"/>
      <c r="DP4" s="370"/>
      <c r="DQ4" s="370"/>
      <c r="DR4" s="371"/>
      <c r="DS4" s="371"/>
      <c r="DT4" s="370"/>
      <c r="DU4" s="370"/>
      <c r="DV4" s="371"/>
      <c r="DW4" s="371"/>
      <c r="DX4" s="370"/>
      <c r="DY4" s="370"/>
      <c r="DZ4" s="371"/>
      <c r="EA4" s="371"/>
      <c r="EB4" s="370"/>
      <c r="EC4" s="370"/>
      <c r="ED4" s="371"/>
      <c r="EE4" s="371"/>
      <c r="EF4" s="370"/>
      <c r="EG4" s="370"/>
      <c r="EH4" s="371"/>
      <c r="EI4" s="371"/>
      <c r="EJ4" s="370"/>
      <c r="EK4" s="370"/>
      <c r="EL4" s="371"/>
      <c r="EM4" s="371"/>
      <c r="EN4" s="370"/>
      <c r="EO4" s="370"/>
      <c r="EP4" s="371"/>
      <c r="EQ4" s="371"/>
      <c r="ER4" s="370"/>
      <c r="ES4" s="370"/>
      <c r="ET4" s="371"/>
      <c r="EU4" s="371"/>
      <c r="EV4" s="370"/>
      <c r="EW4" s="370"/>
      <c r="EX4" s="371"/>
      <c r="EY4" s="371"/>
      <c r="EZ4" s="370"/>
      <c r="FA4" s="370"/>
      <c r="FB4" s="371"/>
      <c r="FC4" s="371"/>
      <c r="FD4" s="370"/>
      <c r="FE4" s="370"/>
      <c r="FF4" s="371"/>
      <c r="FG4" s="371"/>
      <c r="FH4" s="370"/>
      <c r="FI4" s="370"/>
      <c r="FJ4" s="371"/>
      <c r="FK4" s="371"/>
      <c r="FL4" s="370"/>
      <c r="FM4" s="370"/>
      <c r="FN4" s="371"/>
      <c r="FO4" s="371"/>
      <c r="FP4" s="370"/>
      <c r="FQ4" s="370"/>
      <c r="FR4" s="371"/>
      <c r="FS4" s="371"/>
      <c r="FT4" s="370"/>
      <c r="FU4" s="370"/>
      <c r="FV4" s="371"/>
      <c r="FW4" s="371"/>
      <c r="FX4" s="370"/>
      <c r="FY4" s="370"/>
      <c r="FZ4" s="371"/>
      <c r="GA4" s="371"/>
      <c r="GB4" s="370"/>
      <c r="GC4" s="370"/>
      <c r="GD4" s="371"/>
      <c r="GE4" s="371"/>
      <c r="GF4" s="370"/>
      <c r="GG4" s="370"/>
      <c r="GH4" s="371"/>
      <c r="GI4" s="371"/>
      <c r="GJ4" s="370"/>
      <c r="GK4" s="370"/>
      <c r="GL4" s="371"/>
      <c r="GM4" s="371"/>
      <c r="GN4" s="370"/>
      <c r="GO4" s="370"/>
      <c r="GP4" s="371"/>
      <c r="GQ4" s="371"/>
      <c r="GR4" s="370"/>
      <c r="GS4" s="370"/>
    </row>
    <row r="5">
      <c r="A5" s="367" t="s">
        <v>177</v>
      </c>
      <c r="B5" s="371"/>
      <c r="C5" s="371"/>
      <c r="D5" s="370"/>
      <c r="E5" s="370"/>
      <c r="F5" s="371"/>
      <c r="G5" s="371"/>
      <c r="H5" s="370"/>
      <c r="I5" s="370"/>
      <c r="J5" s="371"/>
      <c r="K5" s="371"/>
      <c r="L5" s="370"/>
      <c r="M5" s="370"/>
      <c r="N5" s="371"/>
      <c r="O5" s="371"/>
      <c r="P5" s="370"/>
      <c r="Q5" s="370"/>
      <c r="R5" s="371"/>
      <c r="S5" s="371"/>
      <c r="T5" s="370"/>
      <c r="U5" s="370"/>
      <c r="V5" s="371"/>
      <c r="W5" s="371"/>
      <c r="X5" s="370"/>
      <c r="Y5" s="370"/>
      <c r="Z5" s="371"/>
      <c r="AA5" s="371"/>
      <c r="AB5" s="370"/>
      <c r="AC5" s="370"/>
      <c r="AD5" s="371"/>
      <c r="AE5" s="371"/>
      <c r="AF5" s="370"/>
      <c r="AG5" s="370"/>
      <c r="AH5" s="371"/>
      <c r="AI5" s="371"/>
      <c r="AJ5" s="370"/>
      <c r="AK5" s="370"/>
      <c r="AL5" s="371"/>
      <c r="AM5" s="371"/>
      <c r="AN5" s="370"/>
      <c r="AO5" s="370"/>
      <c r="AP5" s="371"/>
      <c r="AQ5" s="371"/>
      <c r="AR5" s="370"/>
      <c r="AS5" s="370"/>
      <c r="AT5" s="371"/>
      <c r="AU5" s="371"/>
      <c r="AV5" s="370"/>
      <c r="AW5" s="370"/>
      <c r="AX5" s="371"/>
      <c r="AY5" s="371"/>
      <c r="AZ5" s="370"/>
      <c r="BA5" s="370"/>
      <c r="BB5" s="371"/>
      <c r="BC5" s="371"/>
      <c r="BD5" s="370"/>
      <c r="BE5" s="370"/>
      <c r="BF5" s="371"/>
      <c r="BG5" s="371"/>
      <c r="BH5" s="370"/>
      <c r="BI5" s="370"/>
      <c r="BJ5" s="371"/>
      <c r="BK5" s="371"/>
      <c r="BL5" s="370"/>
      <c r="BM5" s="370"/>
      <c r="BN5" s="371"/>
      <c r="BO5" s="371"/>
      <c r="BP5" s="370"/>
      <c r="BQ5" s="370"/>
      <c r="BR5" s="371"/>
      <c r="BS5" s="371"/>
      <c r="BT5" s="370"/>
      <c r="BU5" s="370"/>
      <c r="BV5" s="371"/>
      <c r="BW5" s="371"/>
      <c r="BX5" s="370"/>
      <c r="BY5" s="370"/>
      <c r="BZ5" s="371"/>
      <c r="CA5" s="371"/>
      <c r="CB5" s="370"/>
      <c r="CC5" s="370"/>
      <c r="CD5" s="371"/>
      <c r="CE5" s="371"/>
      <c r="CF5" s="370"/>
      <c r="CG5" s="370"/>
      <c r="CH5" s="371"/>
      <c r="CI5" s="371"/>
      <c r="CJ5" s="370"/>
      <c r="CK5" s="370"/>
      <c r="CL5" s="371"/>
      <c r="CM5" s="371"/>
      <c r="CN5" s="370"/>
      <c r="CO5" s="370"/>
      <c r="CP5" s="371"/>
      <c r="CQ5" s="371"/>
      <c r="CR5" s="370"/>
      <c r="CS5" s="370"/>
      <c r="CT5" s="371"/>
      <c r="CU5" s="371"/>
      <c r="CV5" s="370"/>
      <c r="CW5" s="370"/>
      <c r="CX5" s="371"/>
      <c r="CY5" s="371"/>
      <c r="CZ5" s="370"/>
      <c r="DA5" s="370"/>
      <c r="DB5" s="371"/>
      <c r="DC5" s="371"/>
      <c r="DD5" s="370"/>
      <c r="DE5" s="370"/>
      <c r="DF5" s="371"/>
      <c r="DG5" s="371"/>
      <c r="DH5" s="370"/>
      <c r="DI5" s="370"/>
      <c r="DJ5" s="371"/>
      <c r="DK5" s="371"/>
      <c r="DL5" s="370"/>
      <c r="DM5" s="370"/>
      <c r="DN5" s="371"/>
      <c r="DO5" s="371"/>
      <c r="DP5" s="370"/>
      <c r="DQ5" s="370"/>
      <c r="DR5" s="371"/>
      <c r="DS5" s="371"/>
      <c r="DT5" s="370"/>
      <c r="DU5" s="370"/>
      <c r="DV5" s="371"/>
      <c r="DW5" s="371"/>
      <c r="DX5" s="370"/>
      <c r="DY5" s="370"/>
      <c r="DZ5" s="371"/>
      <c r="EA5" s="371"/>
      <c r="EB5" s="370"/>
      <c r="EC5" s="370"/>
      <c r="ED5" s="371"/>
      <c r="EE5" s="371"/>
      <c r="EF5" s="370"/>
      <c r="EG5" s="370"/>
      <c r="EH5" s="371"/>
      <c r="EI5" s="371"/>
      <c r="EJ5" s="370"/>
      <c r="EK5" s="370"/>
      <c r="EL5" s="371"/>
      <c r="EM5" s="371"/>
      <c r="EN5" s="370"/>
      <c r="EO5" s="370"/>
      <c r="EP5" s="371"/>
      <c r="EQ5" s="371"/>
      <c r="ER5" s="370"/>
      <c r="ES5" s="370"/>
      <c r="ET5" s="371"/>
      <c r="EU5" s="371"/>
      <c r="EV5" s="370"/>
      <c r="EW5" s="370"/>
      <c r="EX5" s="371"/>
      <c r="EY5" s="371"/>
      <c r="EZ5" s="370"/>
      <c r="FA5" s="370"/>
      <c r="FB5" s="371"/>
      <c r="FC5" s="371"/>
      <c r="FD5" s="370"/>
      <c r="FE5" s="370"/>
      <c r="FF5" s="371"/>
      <c r="FG5" s="371"/>
      <c r="FH5" s="370"/>
      <c r="FI5" s="370"/>
      <c r="FJ5" s="371"/>
      <c r="FK5" s="371"/>
      <c r="FL5" s="370"/>
      <c r="FM5" s="370"/>
      <c r="FN5" s="371"/>
      <c r="FO5" s="371"/>
      <c r="FP5" s="370"/>
      <c r="FQ5" s="370"/>
      <c r="FR5" s="371"/>
      <c r="FS5" s="371"/>
      <c r="FT5" s="370"/>
      <c r="FU5" s="370"/>
      <c r="FV5" s="371"/>
      <c r="FW5" s="371"/>
      <c r="FX5" s="370"/>
      <c r="FY5" s="370"/>
      <c r="FZ5" s="371"/>
      <c r="GA5" s="371"/>
      <c r="GB5" s="370"/>
      <c r="GC5" s="370"/>
      <c r="GD5" s="371"/>
      <c r="GE5" s="371"/>
      <c r="GF5" s="370"/>
      <c r="GG5" s="370"/>
      <c r="GH5" s="371"/>
      <c r="GI5" s="371"/>
      <c r="GJ5" s="370"/>
      <c r="GK5" s="370"/>
      <c r="GL5" s="371"/>
      <c r="GM5" s="371"/>
      <c r="GN5" s="370"/>
      <c r="GO5" s="370"/>
      <c r="GP5" s="371"/>
      <c r="GQ5" s="371"/>
      <c r="GR5" s="370"/>
      <c r="GS5" s="370"/>
    </row>
    <row r="6">
      <c r="A6" s="367" t="s">
        <v>178</v>
      </c>
      <c r="B6" s="371"/>
      <c r="C6" s="371"/>
      <c r="D6" s="370"/>
      <c r="E6" s="370"/>
      <c r="F6" s="371"/>
      <c r="G6" s="371"/>
      <c r="H6" s="370"/>
      <c r="I6" s="370"/>
      <c r="J6" s="371"/>
      <c r="K6" s="371"/>
      <c r="L6" s="370"/>
      <c r="M6" s="370"/>
      <c r="N6" s="371"/>
      <c r="O6" s="371"/>
      <c r="P6" s="370"/>
      <c r="Q6" s="370"/>
      <c r="R6" s="371"/>
      <c r="S6" s="371"/>
      <c r="T6" s="370"/>
      <c r="U6" s="370"/>
      <c r="V6" s="371"/>
      <c r="W6" s="371"/>
      <c r="X6" s="370"/>
      <c r="Y6" s="370"/>
      <c r="Z6" s="371"/>
      <c r="AA6" s="371"/>
      <c r="AB6" s="370"/>
      <c r="AC6" s="370"/>
      <c r="AD6" s="371"/>
      <c r="AE6" s="371"/>
      <c r="AF6" s="370"/>
      <c r="AG6" s="370"/>
      <c r="AH6" s="371"/>
      <c r="AI6" s="371"/>
      <c r="AJ6" s="370"/>
      <c r="AK6" s="370"/>
      <c r="AL6" s="371"/>
      <c r="AM6" s="371"/>
      <c r="AN6" s="370"/>
      <c r="AO6" s="370"/>
      <c r="AP6" s="371"/>
      <c r="AQ6" s="371"/>
      <c r="AR6" s="370"/>
      <c r="AS6" s="370"/>
      <c r="AT6" s="371"/>
      <c r="AU6" s="371"/>
      <c r="AV6" s="370"/>
      <c r="AW6" s="370"/>
      <c r="AX6" s="371"/>
      <c r="AY6" s="371"/>
      <c r="AZ6" s="370"/>
      <c r="BA6" s="370"/>
      <c r="BB6" s="371"/>
      <c r="BC6" s="371"/>
      <c r="BD6" s="370"/>
      <c r="BE6" s="370"/>
      <c r="BF6" s="371"/>
      <c r="BG6" s="371"/>
      <c r="BH6" s="370"/>
      <c r="BI6" s="370"/>
      <c r="BJ6" s="371"/>
      <c r="BK6" s="371"/>
      <c r="BL6" s="370"/>
      <c r="BM6" s="370"/>
      <c r="BN6" s="371"/>
      <c r="BO6" s="371"/>
      <c r="BP6" s="370"/>
      <c r="BQ6" s="370"/>
      <c r="BR6" s="371"/>
      <c r="BS6" s="371"/>
      <c r="BT6" s="370"/>
      <c r="BU6" s="370"/>
      <c r="BV6" s="371"/>
      <c r="BW6" s="371"/>
      <c r="BX6" s="370"/>
      <c r="BY6" s="370"/>
      <c r="BZ6" s="371"/>
      <c r="CA6" s="371"/>
      <c r="CB6" s="370"/>
      <c r="CC6" s="370"/>
      <c r="CD6" s="371"/>
      <c r="CE6" s="371"/>
      <c r="CF6" s="370"/>
      <c r="CG6" s="370"/>
      <c r="CH6" s="371"/>
      <c r="CI6" s="371"/>
      <c r="CJ6" s="370"/>
      <c r="CK6" s="370"/>
      <c r="CL6" s="371"/>
      <c r="CM6" s="371"/>
      <c r="CN6" s="370"/>
      <c r="CO6" s="370"/>
      <c r="CP6" s="371"/>
      <c r="CQ6" s="371"/>
      <c r="CR6" s="370"/>
      <c r="CS6" s="370"/>
      <c r="CT6" s="371"/>
      <c r="CU6" s="371"/>
      <c r="CV6" s="370"/>
      <c r="CW6" s="370"/>
      <c r="CX6" s="371"/>
      <c r="CY6" s="371"/>
      <c r="CZ6" s="370"/>
      <c r="DA6" s="370"/>
      <c r="DB6" s="371"/>
      <c r="DC6" s="371"/>
      <c r="DD6" s="370"/>
      <c r="DE6" s="370"/>
      <c r="DF6" s="371"/>
      <c r="DG6" s="371"/>
      <c r="DH6" s="370"/>
      <c r="DI6" s="370"/>
      <c r="DJ6" s="371"/>
      <c r="DK6" s="371"/>
      <c r="DL6" s="370"/>
      <c r="DM6" s="370"/>
      <c r="DN6" s="371"/>
      <c r="DO6" s="371"/>
      <c r="DP6" s="370"/>
      <c r="DQ6" s="370"/>
      <c r="DR6" s="371"/>
      <c r="DS6" s="371"/>
      <c r="DT6" s="370"/>
      <c r="DU6" s="370"/>
      <c r="DV6" s="371"/>
      <c r="DW6" s="371"/>
      <c r="DX6" s="370"/>
      <c r="DY6" s="370"/>
      <c r="DZ6" s="371"/>
      <c r="EA6" s="371"/>
      <c r="EB6" s="370"/>
      <c r="EC6" s="370"/>
      <c r="ED6" s="371"/>
      <c r="EE6" s="371"/>
      <c r="EF6" s="370"/>
      <c r="EG6" s="370"/>
      <c r="EH6" s="371"/>
      <c r="EI6" s="371"/>
      <c r="EJ6" s="370"/>
      <c r="EK6" s="370"/>
      <c r="EL6" s="371"/>
      <c r="EM6" s="371"/>
      <c r="EN6" s="370"/>
      <c r="EO6" s="370"/>
      <c r="EP6" s="371"/>
      <c r="EQ6" s="371"/>
      <c r="ER6" s="370"/>
      <c r="ES6" s="370"/>
      <c r="ET6" s="371"/>
      <c r="EU6" s="371"/>
      <c r="EV6" s="370"/>
      <c r="EW6" s="370"/>
      <c r="EX6" s="371"/>
      <c r="EY6" s="371"/>
      <c r="EZ6" s="370"/>
      <c r="FA6" s="370"/>
      <c r="FB6" s="371"/>
      <c r="FC6" s="371"/>
      <c r="FD6" s="370"/>
      <c r="FE6" s="370"/>
      <c r="FF6" s="371"/>
      <c r="FG6" s="371"/>
      <c r="FH6" s="370"/>
      <c r="FI6" s="370"/>
      <c r="FJ6" s="371"/>
      <c r="FK6" s="371"/>
      <c r="FL6" s="370"/>
      <c r="FM6" s="370"/>
      <c r="FN6" s="371"/>
      <c r="FO6" s="371"/>
      <c r="FP6" s="370"/>
      <c r="FQ6" s="370"/>
      <c r="FR6" s="371"/>
      <c r="FS6" s="371"/>
      <c r="FT6" s="370"/>
      <c r="FU6" s="370"/>
      <c r="FV6" s="371"/>
      <c r="FW6" s="371"/>
      <c r="FX6" s="370"/>
      <c r="FY6" s="370"/>
      <c r="FZ6" s="371"/>
      <c r="GA6" s="371"/>
      <c r="GB6" s="370"/>
      <c r="GC6" s="370"/>
      <c r="GD6" s="371"/>
      <c r="GE6" s="371"/>
      <c r="GF6" s="370"/>
      <c r="GG6" s="370"/>
      <c r="GH6" s="371"/>
      <c r="GI6" s="371"/>
      <c r="GJ6" s="370"/>
      <c r="GK6" s="370"/>
      <c r="GL6" s="371"/>
      <c r="GM6" s="371"/>
      <c r="GN6" s="370"/>
      <c r="GO6" s="370"/>
      <c r="GP6" s="371"/>
      <c r="GQ6" s="371"/>
      <c r="GR6" s="370"/>
      <c r="GS6" s="370"/>
    </row>
    <row r="7">
      <c r="A7" s="365" t="s">
        <v>179</v>
      </c>
      <c r="B7" s="365"/>
      <c r="C7" s="365"/>
      <c r="D7" s="365"/>
      <c r="E7" s="365"/>
      <c r="F7" s="365"/>
      <c r="G7" s="365"/>
      <c r="H7" s="365"/>
      <c r="I7" s="365"/>
      <c r="J7" s="365"/>
      <c r="K7" s="365"/>
      <c r="L7" s="365"/>
      <c r="M7" s="365"/>
      <c r="N7" s="365"/>
      <c r="O7" s="365"/>
      <c r="P7" s="365"/>
      <c r="Q7" s="365"/>
      <c r="R7" s="365"/>
      <c r="S7" s="365"/>
      <c r="T7" s="365"/>
      <c r="U7" s="365"/>
      <c r="V7" s="365"/>
      <c r="W7" s="365"/>
      <c r="X7" s="365"/>
      <c r="Y7" s="365"/>
      <c r="Z7" s="365"/>
      <c r="AA7" s="365"/>
      <c r="AB7" s="365"/>
      <c r="AC7" s="365"/>
      <c r="AD7" s="365"/>
      <c r="AE7" s="365"/>
      <c r="AF7" s="365"/>
      <c r="AG7" s="365"/>
      <c r="AH7" s="365"/>
      <c r="AI7" s="365"/>
      <c r="AJ7" s="365"/>
      <c r="AK7" s="365"/>
      <c r="AL7" s="365"/>
      <c r="AM7" s="365"/>
      <c r="AN7" s="365"/>
      <c r="AO7" s="365"/>
      <c r="AP7" s="365"/>
      <c r="AQ7" s="365"/>
      <c r="AR7" s="365"/>
      <c r="AS7" s="365"/>
      <c r="AT7" s="365"/>
      <c r="AU7" s="365"/>
      <c r="AV7" s="365"/>
      <c r="AW7" s="365"/>
      <c r="AX7" s="365"/>
      <c r="AY7" s="365"/>
      <c r="AZ7" s="365"/>
      <c r="BA7" s="365"/>
      <c r="BB7" s="365"/>
      <c r="BC7" s="365"/>
      <c r="BD7" s="365"/>
      <c r="BE7" s="365"/>
      <c r="BF7" s="365"/>
      <c r="BG7" s="365"/>
      <c r="BH7" s="365"/>
      <c r="BI7" s="365"/>
      <c r="BJ7" s="365"/>
      <c r="BK7" s="365"/>
      <c r="BL7" s="365"/>
      <c r="BM7" s="365"/>
      <c r="BN7" s="365"/>
      <c r="BO7" s="365"/>
      <c r="BP7" s="365"/>
      <c r="BQ7" s="365"/>
      <c r="BR7" s="365"/>
      <c r="BS7" s="365"/>
      <c r="BT7" s="365"/>
      <c r="BU7" s="365"/>
      <c r="BV7" s="365"/>
      <c r="BW7" s="365"/>
      <c r="BX7" s="365"/>
      <c r="BY7" s="365"/>
      <c r="BZ7" s="365"/>
      <c r="CA7" s="365"/>
      <c r="CB7" s="365"/>
      <c r="CC7" s="365"/>
      <c r="CD7" s="365"/>
      <c r="CE7" s="365"/>
      <c r="CF7" s="365"/>
      <c r="CG7" s="365"/>
      <c r="CH7" s="365"/>
      <c r="CI7" s="365"/>
      <c r="CJ7" s="365"/>
      <c r="CK7" s="365"/>
      <c r="CL7" s="365"/>
      <c r="CM7" s="365"/>
      <c r="CN7" s="365"/>
      <c r="CO7" s="365"/>
      <c r="CP7" s="365"/>
      <c r="CQ7" s="365"/>
      <c r="CR7" s="365"/>
      <c r="CS7" s="365"/>
      <c r="CT7" s="365"/>
      <c r="CU7" s="365"/>
      <c r="CV7" s="365"/>
      <c r="CW7" s="365"/>
      <c r="CX7" s="365"/>
      <c r="CY7" s="365"/>
      <c r="CZ7" s="365"/>
      <c r="DA7" s="365"/>
      <c r="DB7" s="365"/>
      <c r="DC7" s="365"/>
      <c r="DD7" s="365"/>
      <c r="DE7" s="365"/>
      <c r="DF7" s="365"/>
      <c r="DG7" s="365"/>
      <c r="DH7" s="365"/>
      <c r="DI7" s="365"/>
      <c r="DJ7" s="365"/>
      <c r="DK7" s="365"/>
      <c r="DL7" s="365"/>
      <c r="DM7" s="365"/>
      <c r="DN7" s="365"/>
      <c r="DO7" s="365"/>
      <c r="DP7" s="365"/>
      <c r="DQ7" s="365"/>
      <c r="DR7" s="365"/>
      <c r="DS7" s="365"/>
      <c r="DT7" s="365"/>
      <c r="DU7" s="365"/>
      <c r="DV7" s="365"/>
      <c r="DW7" s="365"/>
      <c r="DX7" s="365"/>
      <c r="DY7" s="365"/>
      <c r="DZ7" s="365"/>
      <c r="EA7" s="365"/>
      <c r="EB7" s="365"/>
      <c r="EC7" s="365"/>
      <c r="ED7" s="365"/>
      <c r="EE7" s="365"/>
      <c r="EF7" s="365"/>
      <c r="EG7" s="365"/>
      <c r="EH7" s="365"/>
      <c r="EI7" s="365"/>
      <c r="EJ7" s="365"/>
      <c r="EK7" s="365"/>
      <c r="EL7" s="365"/>
      <c r="EM7" s="365"/>
      <c r="EN7" s="365"/>
      <c r="EO7" s="365"/>
      <c r="EP7" s="365"/>
      <c r="EQ7" s="365"/>
      <c r="ER7" s="365"/>
      <c r="ES7" s="365"/>
      <c r="ET7" s="365"/>
      <c r="EU7" s="365"/>
      <c r="EV7" s="365"/>
      <c r="EW7" s="365"/>
      <c r="EX7" s="365"/>
      <c r="EY7" s="365"/>
      <c r="EZ7" s="365"/>
      <c r="FA7" s="365"/>
      <c r="FB7" s="365"/>
      <c r="FC7" s="365"/>
      <c r="FD7" s="365"/>
      <c r="FE7" s="365"/>
      <c r="FF7" s="365"/>
      <c r="FG7" s="365"/>
      <c r="FH7" s="365"/>
      <c r="FI7" s="365"/>
      <c r="FJ7" s="365"/>
      <c r="FK7" s="365"/>
      <c r="FL7" s="365"/>
      <c r="FM7" s="365"/>
      <c r="FN7" s="365"/>
      <c r="FO7" s="365"/>
      <c r="FP7" s="365"/>
      <c r="FQ7" s="365"/>
      <c r="FR7" s="365"/>
      <c r="FS7" s="365"/>
      <c r="FT7" s="365"/>
      <c r="FU7" s="365"/>
      <c r="FV7" s="365"/>
      <c r="FW7" s="365"/>
      <c r="FX7" s="365"/>
      <c r="FY7" s="365"/>
      <c r="FZ7" s="365"/>
      <c r="GA7" s="365"/>
      <c r="GB7" s="365"/>
      <c r="GC7" s="365"/>
      <c r="GD7" s="365"/>
      <c r="GE7" s="365"/>
      <c r="GF7" s="365"/>
      <c r="GG7" s="365"/>
      <c r="GH7" s="365"/>
      <c r="GI7" s="365"/>
      <c r="GJ7" s="365"/>
      <c r="GK7" s="365"/>
      <c r="GL7" s="365"/>
      <c r="GM7" s="365"/>
      <c r="GN7" s="365"/>
      <c r="GO7" s="365"/>
      <c r="GP7" s="365"/>
      <c r="GQ7" s="365"/>
      <c r="GR7" s="365"/>
      <c r="GS7" s="365"/>
    </row>
    <row r="8">
      <c r="A8" s="367" t="s">
        <v>180</v>
      </c>
      <c r="B8" s="371"/>
      <c r="C8" s="371"/>
      <c r="D8" s="370"/>
      <c r="E8" s="370"/>
      <c r="F8" s="371"/>
      <c r="G8" s="371"/>
      <c r="H8" s="370"/>
      <c r="I8" s="370"/>
      <c r="J8" s="371"/>
      <c r="K8" s="371"/>
      <c r="L8" s="370"/>
      <c r="M8" s="370"/>
      <c r="N8" s="371"/>
      <c r="O8" s="371"/>
      <c r="P8" s="370"/>
      <c r="Q8" s="370"/>
      <c r="R8" s="371"/>
      <c r="S8" s="371"/>
      <c r="T8" s="370"/>
      <c r="U8" s="370"/>
      <c r="V8" s="371"/>
      <c r="W8" s="371"/>
      <c r="X8" s="370"/>
      <c r="Y8" s="370"/>
      <c r="Z8" s="371"/>
      <c r="AA8" s="371"/>
      <c r="AB8" s="370"/>
      <c r="AC8" s="370"/>
      <c r="AD8" s="371"/>
      <c r="AE8" s="371"/>
      <c r="AF8" s="370"/>
      <c r="AG8" s="370"/>
      <c r="AH8" s="371"/>
      <c r="AI8" s="371"/>
      <c r="AJ8" s="370"/>
      <c r="AK8" s="370"/>
      <c r="AL8" s="371"/>
      <c r="AM8" s="371"/>
      <c r="AN8" s="370"/>
      <c r="AO8" s="370"/>
      <c r="AP8" s="371"/>
      <c r="AQ8" s="371"/>
      <c r="AR8" s="370"/>
      <c r="AS8" s="370"/>
      <c r="AT8" s="371"/>
      <c r="AU8" s="371"/>
      <c r="AV8" s="370"/>
      <c r="AW8" s="370"/>
      <c r="AX8" s="371"/>
      <c r="AY8" s="371"/>
      <c r="AZ8" s="370"/>
      <c r="BA8" s="370"/>
      <c r="BB8" s="371"/>
      <c r="BC8" s="371"/>
      <c r="BD8" s="370"/>
      <c r="BE8" s="370"/>
      <c r="BF8" s="371"/>
      <c r="BG8" s="371"/>
      <c r="BH8" s="370"/>
      <c r="BI8" s="370"/>
      <c r="BJ8" s="371"/>
      <c r="BK8" s="371"/>
      <c r="BL8" s="370"/>
      <c r="BM8" s="370"/>
      <c r="BN8" s="371"/>
      <c r="BO8" s="371"/>
      <c r="BP8" s="370"/>
      <c r="BQ8" s="370"/>
      <c r="BR8" s="371"/>
      <c r="BS8" s="371"/>
      <c r="BT8" s="370"/>
      <c r="BU8" s="370"/>
      <c r="BV8" s="371"/>
      <c r="BW8" s="371"/>
      <c r="BX8" s="370"/>
      <c r="BY8" s="370"/>
      <c r="BZ8" s="371"/>
      <c r="CA8" s="371"/>
      <c r="CB8" s="370"/>
      <c r="CC8" s="370"/>
      <c r="CD8" s="371"/>
      <c r="CE8" s="371"/>
      <c r="CF8" s="370"/>
      <c r="CG8" s="370"/>
      <c r="CH8" s="371"/>
      <c r="CI8" s="371"/>
      <c r="CJ8" s="370"/>
      <c r="CK8" s="370"/>
      <c r="CL8" s="371"/>
      <c r="CM8" s="371"/>
      <c r="CN8" s="370"/>
      <c r="CO8" s="370"/>
      <c r="CP8" s="371"/>
      <c r="CQ8" s="371"/>
      <c r="CR8" s="370"/>
      <c r="CS8" s="370"/>
      <c r="CT8" s="371"/>
      <c r="CU8" s="371"/>
      <c r="CV8" s="370"/>
      <c r="CW8" s="370"/>
      <c r="CX8" s="371"/>
      <c r="CY8" s="371"/>
      <c r="CZ8" s="370"/>
      <c r="DA8" s="370"/>
      <c r="DB8" s="371"/>
      <c r="DC8" s="371"/>
      <c r="DD8" s="370"/>
      <c r="DE8" s="370"/>
      <c r="DF8" s="371"/>
      <c r="DG8" s="371"/>
      <c r="DH8" s="370"/>
      <c r="DI8" s="370"/>
      <c r="DJ8" s="371"/>
      <c r="DK8" s="371"/>
      <c r="DL8" s="370"/>
      <c r="DM8" s="370"/>
      <c r="DN8" s="371"/>
      <c r="DO8" s="371"/>
      <c r="DP8" s="370"/>
      <c r="DQ8" s="370"/>
      <c r="DR8" s="371"/>
      <c r="DS8" s="371"/>
      <c r="DT8" s="370"/>
      <c r="DU8" s="370"/>
      <c r="DV8" s="371"/>
      <c r="DW8" s="371"/>
      <c r="DX8" s="370"/>
      <c r="DY8" s="370"/>
      <c r="DZ8" s="371"/>
      <c r="EA8" s="371"/>
      <c r="EB8" s="370"/>
      <c r="EC8" s="370"/>
      <c r="ED8" s="371"/>
      <c r="EE8" s="371"/>
      <c r="EF8" s="370"/>
      <c r="EG8" s="370"/>
      <c r="EH8" s="371"/>
      <c r="EI8" s="371"/>
      <c r="EJ8" s="370"/>
      <c r="EK8" s="370"/>
      <c r="EL8" s="371"/>
      <c r="EM8" s="371"/>
      <c r="EN8" s="370"/>
      <c r="EO8" s="370"/>
      <c r="EP8" s="371"/>
      <c r="EQ8" s="371"/>
      <c r="ER8" s="370"/>
      <c r="ES8" s="370"/>
      <c r="ET8" s="371"/>
      <c r="EU8" s="371"/>
      <c r="EV8" s="370"/>
      <c r="EW8" s="370"/>
      <c r="EX8" s="371"/>
      <c r="EY8" s="371"/>
      <c r="EZ8" s="370"/>
      <c r="FA8" s="370"/>
      <c r="FB8" s="371"/>
      <c r="FC8" s="371"/>
      <c r="FD8" s="370"/>
      <c r="FE8" s="370"/>
      <c r="FF8" s="371"/>
      <c r="FG8" s="371"/>
      <c r="FH8" s="370"/>
      <c r="FI8" s="370"/>
      <c r="FJ8" s="371"/>
      <c r="FK8" s="371"/>
      <c r="FL8" s="370"/>
      <c r="FM8" s="370"/>
      <c r="FN8" s="371"/>
      <c r="FO8" s="371"/>
      <c r="FP8" s="370"/>
      <c r="FQ8" s="370"/>
      <c r="FR8" s="371"/>
      <c r="FS8" s="371"/>
      <c r="FT8" s="370"/>
      <c r="FU8" s="370"/>
      <c r="FV8" s="371"/>
      <c r="FW8" s="371"/>
      <c r="FX8" s="370"/>
      <c r="FY8" s="370"/>
      <c r="FZ8" s="371"/>
      <c r="GA8" s="371"/>
      <c r="GB8" s="370"/>
      <c r="GC8" s="370"/>
      <c r="GD8" s="371"/>
      <c r="GE8" s="371"/>
      <c r="GF8" s="370"/>
      <c r="GG8" s="370"/>
      <c r="GH8" s="371"/>
      <c r="GI8" s="371"/>
      <c r="GJ8" s="370"/>
      <c r="GK8" s="370"/>
      <c r="GL8" s="371"/>
      <c r="GM8" s="371"/>
      <c r="GN8" s="370"/>
      <c r="GO8" s="370"/>
      <c r="GP8" s="371"/>
      <c r="GQ8" s="371"/>
      <c r="GR8" s="370"/>
      <c r="GS8" s="370"/>
    </row>
    <row r="9">
      <c r="A9" s="367" t="s">
        <v>181</v>
      </c>
      <c r="B9" s="371"/>
      <c r="C9" s="371"/>
      <c r="D9" s="370"/>
      <c r="E9" s="370"/>
      <c r="F9" s="371"/>
      <c r="G9" s="371"/>
      <c r="H9" s="370"/>
      <c r="I9" s="370"/>
      <c r="J9" s="371"/>
      <c r="K9" s="371"/>
      <c r="L9" s="370"/>
      <c r="M9" s="370"/>
      <c r="N9" s="371"/>
      <c r="O9" s="371"/>
      <c r="P9" s="370"/>
      <c r="Q9" s="370"/>
      <c r="R9" s="371"/>
      <c r="S9" s="371"/>
      <c r="T9" s="370"/>
      <c r="U9" s="370"/>
      <c r="V9" s="371"/>
      <c r="W9" s="371"/>
      <c r="X9" s="370"/>
      <c r="Y9" s="370"/>
      <c r="Z9" s="371"/>
      <c r="AA9" s="371"/>
      <c r="AB9" s="370"/>
      <c r="AC9" s="370"/>
      <c r="AD9" s="371"/>
      <c r="AE9" s="371"/>
      <c r="AF9" s="370"/>
      <c r="AG9" s="370"/>
      <c r="AH9" s="371"/>
      <c r="AI9" s="371"/>
      <c r="AJ9" s="370"/>
      <c r="AK9" s="370"/>
      <c r="AL9" s="371"/>
      <c r="AM9" s="371"/>
      <c r="AN9" s="370"/>
      <c r="AO9" s="370"/>
      <c r="AP9" s="371"/>
      <c r="AQ9" s="371"/>
      <c r="AR9" s="370"/>
      <c r="AS9" s="370"/>
      <c r="AT9" s="371"/>
      <c r="AU9" s="371"/>
      <c r="AV9" s="370"/>
      <c r="AW9" s="370"/>
      <c r="AX9" s="371"/>
      <c r="AY9" s="371"/>
      <c r="AZ9" s="370"/>
      <c r="BA9" s="370"/>
      <c r="BB9" s="371"/>
      <c r="BC9" s="371"/>
      <c r="BD9" s="370"/>
      <c r="BE9" s="370"/>
      <c r="BF9" s="371"/>
      <c r="BG9" s="371"/>
      <c r="BH9" s="370"/>
      <c r="BI9" s="370"/>
      <c r="BJ9" s="371"/>
      <c r="BK9" s="371"/>
      <c r="BL9" s="370"/>
      <c r="BM9" s="370"/>
      <c r="BN9" s="371"/>
      <c r="BO9" s="371"/>
      <c r="BP9" s="370"/>
      <c r="BQ9" s="370"/>
      <c r="BR9" s="371"/>
      <c r="BS9" s="371"/>
      <c r="BT9" s="370"/>
      <c r="BU9" s="370"/>
      <c r="BV9" s="371"/>
      <c r="BW9" s="371"/>
      <c r="BX9" s="370"/>
      <c r="BY9" s="370"/>
      <c r="BZ9" s="371"/>
      <c r="CA9" s="371"/>
      <c r="CB9" s="370"/>
      <c r="CC9" s="370"/>
      <c r="CD9" s="371"/>
      <c r="CE9" s="371"/>
      <c r="CF9" s="370"/>
      <c r="CG9" s="370"/>
      <c r="CH9" s="371"/>
      <c r="CI9" s="371"/>
      <c r="CJ9" s="370"/>
      <c r="CK9" s="370"/>
      <c r="CL9" s="371"/>
      <c r="CM9" s="371"/>
      <c r="CN9" s="370"/>
      <c r="CO9" s="370"/>
      <c r="CP9" s="371"/>
      <c r="CQ9" s="371"/>
      <c r="CR9" s="370"/>
      <c r="CS9" s="370"/>
      <c r="CT9" s="371"/>
      <c r="CU9" s="371"/>
      <c r="CV9" s="370"/>
      <c r="CW9" s="370"/>
      <c r="CX9" s="371"/>
      <c r="CY9" s="371"/>
      <c r="CZ9" s="370"/>
      <c r="DA9" s="370"/>
      <c r="DB9" s="371"/>
      <c r="DC9" s="371"/>
      <c r="DD9" s="370"/>
      <c r="DE9" s="370"/>
      <c r="DF9" s="371"/>
      <c r="DG9" s="371"/>
      <c r="DH9" s="370"/>
      <c r="DI9" s="370"/>
      <c r="DJ9" s="371"/>
      <c r="DK9" s="371"/>
      <c r="DL9" s="370"/>
      <c r="DM9" s="370"/>
      <c r="DN9" s="371"/>
      <c r="DO9" s="371"/>
      <c r="DP9" s="370"/>
      <c r="DQ9" s="370"/>
      <c r="DR9" s="371"/>
      <c r="DS9" s="371"/>
      <c r="DT9" s="370"/>
      <c r="DU9" s="370"/>
      <c r="DV9" s="371"/>
      <c r="DW9" s="371"/>
      <c r="DX9" s="370"/>
      <c r="DY9" s="370"/>
      <c r="DZ9" s="371"/>
      <c r="EA9" s="371"/>
      <c r="EB9" s="370"/>
      <c r="EC9" s="370"/>
      <c r="ED9" s="371"/>
      <c r="EE9" s="371"/>
      <c r="EF9" s="370"/>
      <c r="EG9" s="370"/>
      <c r="EH9" s="371"/>
      <c r="EI9" s="371"/>
      <c r="EJ9" s="370"/>
      <c r="EK9" s="370"/>
      <c r="EL9" s="371"/>
      <c r="EM9" s="371"/>
      <c r="EN9" s="370"/>
      <c r="EO9" s="370"/>
      <c r="EP9" s="371"/>
      <c r="EQ9" s="371"/>
      <c r="ER9" s="370"/>
      <c r="ES9" s="370"/>
      <c r="ET9" s="371"/>
      <c r="EU9" s="371"/>
      <c r="EV9" s="370"/>
      <c r="EW9" s="370"/>
      <c r="EX9" s="371"/>
      <c r="EY9" s="371"/>
      <c r="EZ9" s="370"/>
      <c r="FA9" s="370"/>
      <c r="FB9" s="371"/>
      <c r="FC9" s="371"/>
      <c r="FD9" s="370"/>
      <c r="FE9" s="370"/>
      <c r="FF9" s="371"/>
      <c r="FG9" s="371"/>
      <c r="FH9" s="370"/>
      <c r="FI9" s="370"/>
      <c r="FJ9" s="371"/>
      <c r="FK9" s="371"/>
      <c r="FL9" s="370"/>
      <c r="FM9" s="370"/>
      <c r="FN9" s="371"/>
      <c r="FO9" s="371"/>
      <c r="FP9" s="370"/>
      <c r="FQ9" s="370"/>
      <c r="FR9" s="371"/>
      <c r="FS9" s="371"/>
      <c r="FT9" s="370"/>
      <c r="FU9" s="370"/>
      <c r="FV9" s="371"/>
      <c r="FW9" s="371"/>
      <c r="FX9" s="370"/>
      <c r="FY9" s="370"/>
      <c r="FZ9" s="371"/>
      <c r="GA9" s="371"/>
      <c r="GB9" s="370"/>
      <c r="GC9" s="370"/>
      <c r="GD9" s="371"/>
      <c r="GE9" s="371"/>
      <c r="GF9" s="370"/>
      <c r="GG9" s="370"/>
      <c r="GH9" s="371"/>
      <c r="GI9" s="371"/>
      <c r="GJ9" s="370"/>
      <c r="GK9" s="370"/>
      <c r="GL9" s="371"/>
      <c r="GM9" s="371"/>
      <c r="GN9" s="370"/>
      <c r="GO9" s="370"/>
      <c r="GP9" s="371"/>
      <c r="GQ9" s="371"/>
      <c r="GR9" s="370"/>
      <c r="GS9" s="370"/>
    </row>
    <row r="10">
      <c r="A10" s="367" t="s">
        <v>182</v>
      </c>
      <c r="B10" s="371"/>
      <c r="C10" s="371"/>
      <c r="D10" s="370"/>
      <c r="E10" s="370"/>
      <c r="F10" s="371"/>
      <c r="G10" s="371"/>
      <c r="H10" s="370"/>
      <c r="I10" s="370"/>
      <c r="J10" s="371"/>
      <c r="K10" s="371"/>
      <c r="L10" s="370"/>
      <c r="M10" s="370"/>
      <c r="N10" s="371"/>
      <c r="O10" s="371"/>
      <c r="P10" s="370"/>
      <c r="Q10" s="370"/>
      <c r="R10" s="371"/>
      <c r="S10" s="371"/>
      <c r="T10" s="370"/>
      <c r="U10" s="370"/>
      <c r="V10" s="371"/>
      <c r="W10" s="371"/>
      <c r="X10" s="370"/>
      <c r="Y10" s="370"/>
      <c r="Z10" s="371"/>
      <c r="AA10" s="371"/>
      <c r="AB10" s="370"/>
      <c r="AC10" s="370"/>
      <c r="AD10" s="371"/>
      <c r="AE10" s="371"/>
      <c r="AF10" s="370"/>
      <c r="AG10" s="370"/>
      <c r="AH10" s="371"/>
      <c r="AI10" s="371"/>
      <c r="AJ10" s="370"/>
      <c r="AK10" s="370"/>
      <c r="AL10" s="371"/>
      <c r="AM10" s="371"/>
      <c r="AN10" s="370"/>
      <c r="AO10" s="370"/>
      <c r="AP10" s="371"/>
      <c r="AQ10" s="371"/>
      <c r="AR10" s="370"/>
      <c r="AS10" s="370"/>
      <c r="AT10" s="371"/>
      <c r="AU10" s="371"/>
      <c r="AV10" s="370"/>
      <c r="AW10" s="370"/>
      <c r="AX10" s="371"/>
      <c r="AY10" s="371"/>
      <c r="AZ10" s="370"/>
      <c r="BA10" s="370"/>
      <c r="BB10" s="371"/>
      <c r="BC10" s="371"/>
      <c r="BD10" s="370"/>
      <c r="BE10" s="370"/>
      <c r="BF10" s="371"/>
      <c r="BG10" s="371"/>
      <c r="BH10" s="370"/>
      <c r="BI10" s="370"/>
      <c r="BJ10" s="371"/>
      <c r="BK10" s="371"/>
      <c r="BL10" s="370"/>
      <c r="BM10" s="370"/>
      <c r="BN10" s="371"/>
      <c r="BO10" s="371"/>
      <c r="BP10" s="370"/>
      <c r="BQ10" s="370"/>
      <c r="BR10" s="371"/>
      <c r="BS10" s="371"/>
      <c r="BT10" s="370"/>
      <c r="BU10" s="370"/>
      <c r="BV10" s="371"/>
      <c r="BW10" s="371"/>
      <c r="BX10" s="370"/>
      <c r="BY10" s="370"/>
      <c r="BZ10" s="371"/>
      <c r="CA10" s="371"/>
      <c r="CB10" s="370"/>
      <c r="CC10" s="370"/>
      <c r="CD10" s="371"/>
      <c r="CE10" s="371"/>
      <c r="CF10" s="370"/>
      <c r="CG10" s="370"/>
      <c r="CH10" s="371"/>
      <c r="CI10" s="371"/>
      <c r="CJ10" s="370"/>
      <c r="CK10" s="370"/>
      <c r="CL10" s="371"/>
      <c r="CM10" s="371"/>
      <c r="CN10" s="370"/>
      <c r="CO10" s="370"/>
      <c r="CP10" s="371"/>
      <c r="CQ10" s="371"/>
      <c r="CR10" s="370"/>
      <c r="CS10" s="370"/>
      <c r="CT10" s="371"/>
      <c r="CU10" s="371"/>
      <c r="CV10" s="370"/>
      <c r="CW10" s="370"/>
      <c r="CX10" s="371"/>
      <c r="CY10" s="371"/>
      <c r="CZ10" s="370"/>
      <c r="DA10" s="370"/>
      <c r="DB10" s="371"/>
      <c r="DC10" s="371"/>
      <c r="DD10" s="370"/>
      <c r="DE10" s="370"/>
      <c r="DF10" s="371"/>
      <c r="DG10" s="371"/>
      <c r="DH10" s="370"/>
      <c r="DI10" s="370"/>
      <c r="DJ10" s="371"/>
      <c r="DK10" s="371"/>
      <c r="DL10" s="370"/>
      <c r="DM10" s="370"/>
      <c r="DN10" s="371"/>
      <c r="DO10" s="371"/>
      <c r="DP10" s="370"/>
      <c r="DQ10" s="370"/>
      <c r="DR10" s="371"/>
      <c r="DS10" s="371"/>
      <c r="DT10" s="370"/>
      <c r="DU10" s="370"/>
      <c r="DV10" s="371"/>
      <c r="DW10" s="371"/>
      <c r="DX10" s="370"/>
      <c r="DY10" s="370"/>
      <c r="DZ10" s="371"/>
      <c r="EA10" s="371"/>
      <c r="EB10" s="370"/>
      <c r="EC10" s="370"/>
      <c r="ED10" s="371"/>
      <c r="EE10" s="371"/>
      <c r="EF10" s="370"/>
      <c r="EG10" s="370"/>
      <c r="EH10" s="371"/>
      <c r="EI10" s="371"/>
      <c r="EJ10" s="370"/>
      <c r="EK10" s="370"/>
      <c r="EL10" s="371"/>
      <c r="EM10" s="371"/>
      <c r="EN10" s="370"/>
      <c r="EO10" s="370"/>
      <c r="EP10" s="371"/>
      <c r="EQ10" s="371"/>
      <c r="ER10" s="370"/>
      <c r="ES10" s="370"/>
      <c r="ET10" s="371"/>
      <c r="EU10" s="371"/>
      <c r="EV10" s="370"/>
      <c r="EW10" s="370"/>
      <c r="EX10" s="371"/>
      <c r="EY10" s="371"/>
      <c r="EZ10" s="370"/>
      <c r="FA10" s="370"/>
      <c r="FB10" s="371"/>
      <c r="FC10" s="371"/>
      <c r="FD10" s="370"/>
      <c r="FE10" s="370"/>
      <c r="FF10" s="371"/>
      <c r="FG10" s="371"/>
      <c r="FH10" s="370"/>
      <c r="FI10" s="370"/>
      <c r="FJ10" s="371"/>
      <c r="FK10" s="371"/>
      <c r="FL10" s="370"/>
      <c r="FM10" s="370"/>
      <c r="FN10" s="371"/>
      <c r="FO10" s="371"/>
      <c r="FP10" s="370"/>
      <c r="FQ10" s="370"/>
      <c r="FR10" s="371"/>
      <c r="FS10" s="371"/>
      <c r="FT10" s="370"/>
      <c r="FU10" s="370"/>
      <c r="FV10" s="371"/>
      <c r="FW10" s="371"/>
      <c r="FX10" s="370"/>
      <c r="FY10" s="370"/>
      <c r="FZ10" s="371"/>
      <c r="GA10" s="371"/>
      <c r="GB10" s="370"/>
      <c r="GC10" s="370"/>
      <c r="GD10" s="371"/>
      <c r="GE10" s="371"/>
      <c r="GF10" s="370"/>
      <c r="GG10" s="370"/>
      <c r="GH10" s="371"/>
      <c r="GI10" s="371"/>
      <c r="GJ10" s="370"/>
      <c r="GK10" s="370"/>
      <c r="GL10" s="371"/>
      <c r="GM10" s="371"/>
      <c r="GN10" s="370"/>
      <c r="GO10" s="370"/>
      <c r="GP10" s="371"/>
      <c r="GQ10" s="371"/>
      <c r="GR10" s="370"/>
      <c r="GS10" s="370"/>
    </row>
    <row r="11">
      <c r="A11" s="365" t="s">
        <v>183</v>
      </c>
      <c r="B11" s="365"/>
      <c r="C11" s="365"/>
      <c r="D11" s="365"/>
      <c r="E11" s="365"/>
      <c r="F11" s="365"/>
      <c r="G11" s="365"/>
      <c r="H11" s="365"/>
      <c r="I11" s="365"/>
      <c r="J11" s="365"/>
      <c r="K11" s="365"/>
      <c r="L11" s="365"/>
      <c r="M11" s="365"/>
      <c r="N11" s="365"/>
      <c r="O11" s="365"/>
      <c r="P11" s="365"/>
      <c r="Q11" s="365"/>
      <c r="R11" s="365"/>
      <c r="S11" s="365"/>
      <c r="T11" s="365"/>
      <c r="U11" s="365"/>
      <c r="V11" s="365"/>
      <c r="W11" s="365"/>
      <c r="X11" s="365"/>
      <c r="Y11" s="365"/>
      <c r="Z11" s="365"/>
      <c r="AA11" s="365"/>
      <c r="AB11" s="365"/>
      <c r="AC11" s="365"/>
      <c r="AD11" s="365"/>
      <c r="AE11" s="365"/>
      <c r="AF11" s="365"/>
      <c r="AG11" s="365"/>
      <c r="AH11" s="365"/>
      <c r="AI11" s="365"/>
      <c r="AJ11" s="365"/>
      <c r="AK11" s="365"/>
      <c r="AL11" s="365"/>
      <c r="AM11" s="365"/>
      <c r="AN11" s="365"/>
      <c r="AO11" s="365"/>
      <c r="AP11" s="365"/>
      <c r="AQ11" s="365"/>
      <c r="AR11" s="365"/>
      <c r="AS11" s="365"/>
      <c r="AT11" s="365"/>
      <c r="AU11" s="365"/>
      <c r="AV11" s="365"/>
      <c r="AW11" s="365"/>
      <c r="AX11" s="365"/>
      <c r="AY11" s="365"/>
      <c r="AZ11" s="365"/>
      <c r="BA11" s="365"/>
      <c r="BB11" s="365"/>
      <c r="BC11" s="365"/>
      <c r="BD11" s="365"/>
      <c r="BE11" s="365"/>
      <c r="BF11" s="365"/>
      <c r="BG11" s="365"/>
      <c r="BH11" s="365"/>
      <c r="BI11" s="365"/>
      <c r="BJ11" s="365"/>
      <c r="BK11" s="365"/>
      <c r="BL11" s="365"/>
      <c r="BM11" s="365"/>
      <c r="BN11" s="365"/>
      <c r="BO11" s="365"/>
      <c r="BP11" s="365"/>
      <c r="BQ11" s="365"/>
      <c r="BR11" s="365"/>
      <c r="BS11" s="365"/>
      <c r="BT11" s="365"/>
      <c r="BU11" s="365"/>
      <c r="BV11" s="365"/>
      <c r="BW11" s="365"/>
      <c r="BX11" s="365"/>
      <c r="BY11" s="365"/>
      <c r="BZ11" s="365"/>
      <c r="CA11" s="365"/>
      <c r="CB11" s="365"/>
      <c r="CC11" s="365"/>
      <c r="CD11" s="365"/>
      <c r="CE11" s="365"/>
      <c r="CF11" s="365"/>
      <c r="CG11" s="365"/>
      <c r="CH11" s="365"/>
      <c r="CI11" s="365"/>
      <c r="CJ11" s="365"/>
      <c r="CK11" s="365"/>
      <c r="CL11" s="365"/>
      <c r="CM11" s="365"/>
      <c r="CN11" s="365"/>
      <c r="CO11" s="365"/>
      <c r="CP11" s="365"/>
      <c r="CQ11" s="365"/>
      <c r="CR11" s="365"/>
      <c r="CS11" s="365"/>
      <c r="CT11" s="365"/>
      <c r="CU11" s="365"/>
      <c r="CV11" s="365"/>
      <c r="CW11" s="365"/>
      <c r="CX11" s="365"/>
      <c r="CY11" s="365"/>
      <c r="CZ11" s="365"/>
      <c r="DA11" s="365"/>
      <c r="DB11" s="365"/>
      <c r="DC11" s="365"/>
      <c r="DD11" s="365"/>
      <c r="DE11" s="365"/>
      <c r="DF11" s="365"/>
      <c r="DG11" s="365"/>
      <c r="DH11" s="365"/>
      <c r="DI11" s="365"/>
      <c r="DJ11" s="365"/>
      <c r="DK11" s="365"/>
      <c r="DL11" s="365"/>
      <c r="DM11" s="365"/>
      <c r="DN11" s="365"/>
      <c r="DO11" s="365"/>
      <c r="DP11" s="365"/>
      <c r="DQ11" s="365"/>
      <c r="DR11" s="365"/>
      <c r="DS11" s="365"/>
      <c r="DT11" s="365"/>
      <c r="DU11" s="365"/>
      <c r="DV11" s="365"/>
      <c r="DW11" s="365"/>
      <c r="DX11" s="365"/>
      <c r="DY11" s="365"/>
      <c r="DZ11" s="365"/>
      <c r="EA11" s="365"/>
      <c r="EB11" s="365"/>
      <c r="EC11" s="365"/>
      <c r="ED11" s="365"/>
      <c r="EE11" s="365"/>
      <c r="EF11" s="365"/>
      <c r="EG11" s="365"/>
      <c r="EH11" s="365"/>
      <c r="EI11" s="365"/>
      <c r="EJ11" s="365"/>
      <c r="EK11" s="365"/>
      <c r="EL11" s="365"/>
      <c r="EM11" s="365"/>
      <c r="EN11" s="365"/>
      <c r="EO11" s="365"/>
      <c r="EP11" s="365"/>
      <c r="EQ11" s="365"/>
      <c r="ER11" s="365"/>
      <c r="ES11" s="365"/>
      <c r="ET11" s="365"/>
      <c r="EU11" s="365"/>
      <c r="EV11" s="365"/>
      <c r="EW11" s="365"/>
      <c r="EX11" s="365"/>
      <c r="EY11" s="365"/>
      <c r="EZ11" s="365"/>
      <c r="FA11" s="365"/>
      <c r="FB11" s="365"/>
      <c r="FC11" s="365"/>
      <c r="FD11" s="365"/>
      <c r="FE11" s="365"/>
      <c r="FF11" s="365"/>
      <c r="FG11" s="365"/>
      <c r="FH11" s="365"/>
      <c r="FI11" s="365"/>
      <c r="FJ11" s="365"/>
      <c r="FK11" s="365"/>
      <c r="FL11" s="365"/>
      <c r="FM11" s="365"/>
      <c r="FN11" s="365"/>
      <c r="FO11" s="365"/>
      <c r="FP11" s="365"/>
      <c r="FQ11" s="365"/>
      <c r="FR11" s="365"/>
      <c r="FS11" s="365"/>
      <c r="FT11" s="365"/>
      <c r="FU11" s="365"/>
      <c r="FV11" s="365"/>
      <c r="FW11" s="365"/>
      <c r="FX11" s="365"/>
      <c r="FY11" s="365"/>
      <c r="FZ11" s="365"/>
      <c r="GA11" s="365"/>
      <c r="GB11" s="365"/>
      <c r="GC11" s="365"/>
      <c r="GD11" s="365"/>
      <c r="GE11" s="365"/>
      <c r="GF11" s="365"/>
      <c r="GG11" s="365"/>
      <c r="GH11" s="365"/>
      <c r="GI11" s="365"/>
      <c r="GJ11" s="365"/>
      <c r="GK11" s="365"/>
      <c r="GL11" s="365"/>
      <c r="GM11" s="365"/>
      <c r="GN11" s="365"/>
      <c r="GO11" s="365"/>
      <c r="GP11" s="365"/>
      <c r="GQ11" s="365"/>
      <c r="GR11" s="365"/>
      <c r="GS11" s="365"/>
    </row>
    <row r="12">
      <c r="A12" s="367" t="s">
        <v>184</v>
      </c>
      <c r="B12" s="371"/>
      <c r="C12" s="371"/>
      <c r="D12" s="370"/>
      <c r="E12" s="370"/>
      <c r="F12" s="371"/>
      <c r="G12" s="371"/>
      <c r="H12" s="370"/>
      <c r="I12" s="370"/>
      <c r="J12" s="371"/>
      <c r="K12" s="371"/>
      <c r="L12" s="370"/>
      <c r="M12" s="370"/>
      <c r="N12" s="371"/>
      <c r="O12" s="371"/>
      <c r="P12" s="370"/>
      <c r="Q12" s="370"/>
      <c r="R12" s="371"/>
      <c r="S12" s="371"/>
      <c r="T12" s="370"/>
      <c r="U12" s="370"/>
      <c r="V12" s="371"/>
      <c r="W12" s="371"/>
      <c r="X12" s="370"/>
      <c r="Y12" s="370"/>
      <c r="Z12" s="371"/>
      <c r="AA12" s="371"/>
      <c r="AB12" s="370"/>
      <c r="AC12" s="370"/>
      <c r="AD12" s="371"/>
      <c r="AE12" s="371"/>
      <c r="AF12" s="370"/>
      <c r="AG12" s="370"/>
      <c r="AH12" s="371"/>
      <c r="AI12" s="371"/>
      <c r="AJ12" s="370"/>
      <c r="AK12" s="370"/>
      <c r="AL12" s="371"/>
      <c r="AM12" s="371"/>
      <c r="AN12" s="370"/>
      <c r="AO12" s="370"/>
      <c r="AP12" s="371"/>
      <c r="AQ12" s="371"/>
      <c r="AR12" s="370"/>
      <c r="AS12" s="370"/>
      <c r="AT12" s="371"/>
      <c r="AU12" s="371"/>
      <c r="AV12" s="370"/>
      <c r="AW12" s="370"/>
      <c r="AX12" s="371"/>
      <c r="AY12" s="371"/>
      <c r="AZ12" s="370"/>
      <c r="BA12" s="370"/>
      <c r="BB12" s="371"/>
      <c r="BC12" s="371"/>
      <c r="BD12" s="370"/>
      <c r="BE12" s="370"/>
      <c r="BF12" s="371"/>
      <c r="BG12" s="371"/>
      <c r="BH12" s="370"/>
      <c r="BI12" s="370"/>
      <c r="BJ12" s="371"/>
      <c r="BK12" s="371"/>
      <c r="BL12" s="370"/>
      <c r="BM12" s="370"/>
      <c r="BN12" s="371"/>
      <c r="BO12" s="371"/>
      <c r="BP12" s="370"/>
      <c r="BQ12" s="370"/>
      <c r="BR12" s="371"/>
      <c r="BS12" s="371"/>
      <c r="BT12" s="370"/>
      <c r="BU12" s="370"/>
      <c r="BV12" s="371"/>
      <c r="BW12" s="371"/>
      <c r="BX12" s="370"/>
      <c r="BY12" s="370"/>
      <c r="BZ12" s="371"/>
      <c r="CA12" s="371"/>
      <c r="CB12" s="370"/>
      <c r="CC12" s="370"/>
      <c r="CD12" s="371"/>
      <c r="CE12" s="371"/>
      <c r="CF12" s="370"/>
      <c r="CG12" s="370"/>
      <c r="CH12" s="371"/>
      <c r="CI12" s="371"/>
      <c r="CJ12" s="370"/>
      <c r="CK12" s="370"/>
      <c r="CL12" s="371"/>
      <c r="CM12" s="371"/>
      <c r="CN12" s="370"/>
      <c r="CO12" s="370"/>
      <c r="CP12" s="371"/>
      <c r="CQ12" s="371"/>
      <c r="CR12" s="370"/>
      <c r="CS12" s="370"/>
      <c r="CT12" s="371"/>
      <c r="CU12" s="371"/>
      <c r="CV12" s="370"/>
      <c r="CW12" s="370"/>
      <c r="CX12" s="371"/>
      <c r="CY12" s="371"/>
      <c r="CZ12" s="370"/>
      <c r="DA12" s="370"/>
      <c r="DB12" s="371"/>
      <c r="DC12" s="371"/>
      <c r="DD12" s="370"/>
      <c r="DE12" s="370"/>
      <c r="DF12" s="371"/>
      <c r="DG12" s="371"/>
      <c r="DH12" s="370"/>
      <c r="DI12" s="370"/>
      <c r="DJ12" s="371"/>
      <c r="DK12" s="371"/>
      <c r="DL12" s="370"/>
      <c r="DM12" s="370"/>
      <c r="DN12" s="371"/>
      <c r="DO12" s="371"/>
      <c r="DP12" s="370"/>
      <c r="DQ12" s="370"/>
      <c r="DR12" s="371"/>
      <c r="DS12" s="371"/>
      <c r="DT12" s="370"/>
      <c r="DU12" s="370"/>
      <c r="DV12" s="371"/>
      <c r="DW12" s="371"/>
      <c r="DX12" s="370"/>
      <c r="DY12" s="370"/>
      <c r="DZ12" s="371"/>
      <c r="EA12" s="371"/>
      <c r="EB12" s="370"/>
      <c r="EC12" s="370"/>
      <c r="ED12" s="371"/>
      <c r="EE12" s="371"/>
      <c r="EF12" s="370"/>
      <c r="EG12" s="370"/>
      <c r="EH12" s="371"/>
      <c r="EI12" s="371"/>
      <c r="EJ12" s="370"/>
      <c r="EK12" s="370"/>
      <c r="EL12" s="371"/>
      <c r="EM12" s="371"/>
      <c r="EN12" s="370"/>
      <c r="EO12" s="370"/>
      <c r="EP12" s="371"/>
      <c r="EQ12" s="371"/>
      <c r="ER12" s="370"/>
      <c r="ES12" s="370"/>
      <c r="ET12" s="371"/>
      <c r="EU12" s="371"/>
      <c r="EV12" s="370"/>
      <c r="EW12" s="370"/>
      <c r="EX12" s="371"/>
      <c r="EY12" s="371"/>
      <c r="EZ12" s="370"/>
      <c r="FA12" s="370"/>
      <c r="FB12" s="371"/>
      <c r="FC12" s="371"/>
      <c r="FD12" s="370"/>
      <c r="FE12" s="370"/>
      <c r="FF12" s="371"/>
      <c r="FG12" s="371"/>
      <c r="FH12" s="370"/>
      <c r="FI12" s="370"/>
      <c r="FJ12" s="371"/>
      <c r="FK12" s="371"/>
      <c r="FL12" s="370"/>
      <c r="FM12" s="370"/>
      <c r="FN12" s="371"/>
      <c r="FO12" s="371"/>
      <c r="FP12" s="370"/>
      <c r="FQ12" s="370"/>
      <c r="FR12" s="371"/>
      <c r="FS12" s="371"/>
      <c r="FT12" s="370"/>
      <c r="FU12" s="370"/>
      <c r="FV12" s="371"/>
      <c r="FW12" s="371"/>
      <c r="FX12" s="370"/>
      <c r="FY12" s="370"/>
      <c r="FZ12" s="371"/>
      <c r="GA12" s="371"/>
      <c r="GB12" s="370"/>
      <c r="GC12" s="370"/>
      <c r="GD12" s="371"/>
      <c r="GE12" s="371"/>
      <c r="GF12" s="370"/>
      <c r="GG12" s="370"/>
      <c r="GH12" s="371"/>
      <c r="GI12" s="371"/>
      <c r="GJ12" s="370"/>
      <c r="GK12" s="370"/>
      <c r="GL12" s="371"/>
      <c r="GM12" s="371"/>
      <c r="GN12" s="370"/>
      <c r="GO12" s="370"/>
      <c r="GP12" s="371"/>
      <c r="GQ12" s="371"/>
      <c r="GR12" s="370"/>
      <c r="GS12" s="370"/>
    </row>
    <row r="13">
      <c r="A13" s="367" t="s">
        <v>185</v>
      </c>
      <c r="B13" s="371"/>
      <c r="C13" s="371"/>
      <c r="D13" s="370"/>
      <c r="E13" s="370"/>
      <c r="F13" s="371"/>
      <c r="G13" s="371"/>
      <c r="H13" s="370"/>
      <c r="I13" s="370"/>
      <c r="J13" s="371"/>
      <c r="K13" s="371"/>
      <c r="L13" s="370"/>
      <c r="M13" s="370"/>
      <c r="N13" s="371"/>
      <c r="O13" s="371"/>
      <c r="P13" s="370"/>
      <c r="Q13" s="370"/>
      <c r="R13" s="371"/>
      <c r="S13" s="371"/>
      <c r="T13" s="370"/>
      <c r="U13" s="370"/>
      <c r="V13" s="371"/>
      <c r="W13" s="371"/>
      <c r="X13" s="370"/>
      <c r="Y13" s="370"/>
      <c r="Z13" s="371"/>
      <c r="AA13" s="371"/>
      <c r="AB13" s="370"/>
      <c r="AC13" s="370"/>
      <c r="AD13" s="371"/>
      <c r="AE13" s="371"/>
      <c r="AF13" s="370"/>
      <c r="AG13" s="370"/>
      <c r="AH13" s="371"/>
      <c r="AI13" s="371"/>
      <c r="AJ13" s="370"/>
      <c r="AK13" s="370"/>
      <c r="AL13" s="371"/>
      <c r="AM13" s="371"/>
      <c r="AN13" s="370"/>
      <c r="AO13" s="370"/>
      <c r="AP13" s="371"/>
      <c r="AQ13" s="371"/>
      <c r="AR13" s="370"/>
      <c r="AS13" s="370"/>
      <c r="AT13" s="371"/>
      <c r="AU13" s="371"/>
      <c r="AV13" s="370"/>
      <c r="AW13" s="370"/>
      <c r="AX13" s="371"/>
      <c r="AY13" s="371"/>
      <c r="AZ13" s="370"/>
      <c r="BA13" s="370"/>
      <c r="BB13" s="371"/>
      <c r="BC13" s="371"/>
      <c r="BD13" s="370"/>
      <c r="BE13" s="370"/>
      <c r="BF13" s="371"/>
      <c r="BG13" s="371"/>
      <c r="BH13" s="370"/>
      <c r="BI13" s="370"/>
      <c r="BJ13" s="371"/>
      <c r="BK13" s="371"/>
      <c r="BL13" s="370"/>
      <c r="BM13" s="370"/>
      <c r="BN13" s="371"/>
      <c r="BO13" s="371"/>
      <c r="BP13" s="370"/>
      <c r="BQ13" s="370"/>
      <c r="BR13" s="371"/>
      <c r="BS13" s="371"/>
      <c r="BT13" s="370"/>
      <c r="BU13" s="370"/>
      <c r="BV13" s="371"/>
      <c r="BW13" s="371"/>
      <c r="BX13" s="370"/>
      <c r="BY13" s="370"/>
      <c r="BZ13" s="371"/>
      <c r="CA13" s="371"/>
      <c r="CB13" s="370"/>
      <c r="CC13" s="370"/>
      <c r="CD13" s="371"/>
      <c r="CE13" s="371"/>
      <c r="CF13" s="370"/>
      <c r="CG13" s="370"/>
      <c r="CH13" s="371"/>
      <c r="CI13" s="371"/>
      <c r="CJ13" s="370"/>
      <c r="CK13" s="370"/>
      <c r="CL13" s="371"/>
      <c r="CM13" s="371"/>
      <c r="CN13" s="370"/>
      <c r="CO13" s="370"/>
      <c r="CP13" s="371"/>
      <c r="CQ13" s="371"/>
      <c r="CR13" s="370"/>
      <c r="CS13" s="370"/>
      <c r="CT13" s="371"/>
      <c r="CU13" s="371"/>
      <c r="CV13" s="370"/>
      <c r="CW13" s="370"/>
      <c r="CX13" s="371"/>
      <c r="CY13" s="371"/>
      <c r="CZ13" s="370"/>
      <c r="DA13" s="370"/>
      <c r="DB13" s="371"/>
      <c r="DC13" s="371"/>
      <c r="DD13" s="370"/>
      <c r="DE13" s="370"/>
      <c r="DF13" s="371"/>
      <c r="DG13" s="371"/>
      <c r="DH13" s="370"/>
      <c r="DI13" s="370"/>
      <c r="DJ13" s="371"/>
      <c r="DK13" s="371"/>
      <c r="DL13" s="370"/>
      <c r="DM13" s="370"/>
      <c r="DN13" s="371"/>
      <c r="DO13" s="371"/>
      <c r="DP13" s="370"/>
      <c r="DQ13" s="370"/>
      <c r="DR13" s="371"/>
      <c r="DS13" s="371"/>
      <c r="DT13" s="370"/>
      <c r="DU13" s="370"/>
      <c r="DV13" s="371"/>
      <c r="DW13" s="371"/>
      <c r="DX13" s="370"/>
      <c r="DY13" s="370"/>
      <c r="DZ13" s="371"/>
      <c r="EA13" s="371"/>
      <c r="EB13" s="370"/>
      <c r="EC13" s="370"/>
      <c r="ED13" s="371"/>
      <c r="EE13" s="371"/>
      <c r="EF13" s="370"/>
      <c r="EG13" s="370"/>
      <c r="EH13" s="371"/>
      <c r="EI13" s="371"/>
      <c r="EJ13" s="370"/>
      <c r="EK13" s="370"/>
      <c r="EL13" s="371"/>
      <c r="EM13" s="371"/>
      <c r="EN13" s="370"/>
      <c r="EO13" s="370"/>
      <c r="EP13" s="371"/>
      <c r="EQ13" s="371"/>
      <c r="ER13" s="370"/>
      <c r="ES13" s="370"/>
      <c r="ET13" s="371"/>
      <c r="EU13" s="371"/>
      <c r="EV13" s="370"/>
      <c r="EW13" s="370"/>
      <c r="EX13" s="371"/>
      <c r="EY13" s="371"/>
      <c r="EZ13" s="370"/>
      <c r="FA13" s="370"/>
      <c r="FB13" s="371"/>
      <c r="FC13" s="371"/>
      <c r="FD13" s="370"/>
      <c r="FE13" s="370"/>
      <c r="FF13" s="371"/>
      <c r="FG13" s="371"/>
      <c r="FH13" s="370"/>
      <c r="FI13" s="370"/>
      <c r="FJ13" s="371"/>
      <c r="FK13" s="371"/>
      <c r="FL13" s="370"/>
      <c r="FM13" s="370"/>
      <c r="FN13" s="371"/>
      <c r="FO13" s="371"/>
      <c r="FP13" s="370"/>
      <c r="FQ13" s="370"/>
      <c r="FR13" s="371"/>
      <c r="FS13" s="371"/>
      <c r="FT13" s="370"/>
      <c r="FU13" s="370"/>
      <c r="FV13" s="371"/>
      <c r="FW13" s="371"/>
      <c r="FX13" s="370"/>
      <c r="FY13" s="370"/>
      <c r="FZ13" s="371"/>
      <c r="GA13" s="371"/>
      <c r="GB13" s="370"/>
      <c r="GC13" s="370"/>
      <c r="GD13" s="371"/>
      <c r="GE13" s="371"/>
      <c r="GF13" s="370"/>
      <c r="GG13" s="370"/>
      <c r="GH13" s="371"/>
      <c r="GI13" s="371"/>
      <c r="GJ13" s="370"/>
      <c r="GK13" s="370"/>
      <c r="GL13" s="371"/>
      <c r="GM13" s="371"/>
      <c r="GN13" s="370"/>
      <c r="GO13" s="370"/>
      <c r="GP13" s="371"/>
      <c r="GQ13" s="371"/>
      <c r="GR13" s="370"/>
      <c r="GS13" s="370"/>
    </row>
    <row r="14">
      <c r="A14" s="367" t="s">
        <v>186</v>
      </c>
      <c r="B14" s="371"/>
      <c r="C14" s="371"/>
      <c r="D14" s="370"/>
      <c r="E14" s="370"/>
      <c r="F14" s="371"/>
      <c r="G14" s="371"/>
      <c r="H14" s="370"/>
      <c r="I14" s="370"/>
      <c r="J14" s="371"/>
      <c r="K14" s="371"/>
      <c r="L14" s="370"/>
      <c r="M14" s="370"/>
      <c r="N14" s="371"/>
      <c r="O14" s="371"/>
      <c r="P14" s="370"/>
      <c r="Q14" s="370"/>
      <c r="R14" s="371"/>
      <c r="S14" s="371"/>
      <c r="T14" s="370"/>
      <c r="U14" s="370"/>
      <c r="V14" s="371"/>
      <c r="W14" s="371"/>
      <c r="X14" s="370"/>
      <c r="Y14" s="370"/>
      <c r="Z14" s="371"/>
      <c r="AA14" s="371"/>
      <c r="AB14" s="370"/>
      <c r="AC14" s="370"/>
      <c r="AD14" s="371"/>
      <c r="AE14" s="371"/>
      <c r="AF14" s="370"/>
      <c r="AG14" s="370"/>
      <c r="AH14" s="371"/>
      <c r="AI14" s="371"/>
      <c r="AJ14" s="370"/>
      <c r="AK14" s="370"/>
      <c r="AL14" s="371"/>
      <c r="AM14" s="371"/>
      <c r="AN14" s="370"/>
      <c r="AO14" s="370"/>
      <c r="AP14" s="371"/>
      <c r="AQ14" s="371"/>
      <c r="AR14" s="370"/>
      <c r="AS14" s="370"/>
      <c r="AT14" s="371"/>
      <c r="AU14" s="371"/>
      <c r="AV14" s="370"/>
      <c r="AW14" s="370"/>
      <c r="AX14" s="371"/>
      <c r="AY14" s="371"/>
      <c r="AZ14" s="370"/>
      <c r="BA14" s="370"/>
      <c r="BB14" s="371"/>
      <c r="BC14" s="371"/>
      <c r="BD14" s="370"/>
      <c r="BE14" s="370"/>
      <c r="BF14" s="371"/>
      <c r="BG14" s="371"/>
      <c r="BH14" s="370"/>
      <c r="BI14" s="370"/>
      <c r="BJ14" s="371"/>
      <c r="BK14" s="371"/>
      <c r="BL14" s="370"/>
      <c r="BM14" s="370"/>
      <c r="BN14" s="371"/>
      <c r="BO14" s="371"/>
      <c r="BP14" s="370"/>
      <c r="BQ14" s="370"/>
      <c r="BR14" s="371"/>
      <c r="BS14" s="371"/>
      <c r="BT14" s="370"/>
      <c r="BU14" s="370"/>
      <c r="BV14" s="371"/>
      <c r="BW14" s="371"/>
      <c r="BX14" s="370"/>
      <c r="BY14" s="370"/>
      <c r="BZ14" s="371"/>
      <c r="CA14" s="371"/>
      <c r="CB14" s="370"/>
      <c r="CC14" s="370"/>
      <c r="CD14" s="371"/>
      <c r="CE14" s="371"/>
      <c r="CF14" s="370"/>
      <c r="CG14" s="370"/>
      <c r="CH14" s="371"/>
      <c r="CI14" s="371"/>
      <c r="CJ14" s="370"/>
      <c r="CK14" s="370"/>
      <c r="CL14" s="371"/>
      <c r="CM14" s="371"/>
      <c r="CN14" s="370"/>
      <c r="CO14" s="370"/>
      <c r="CP14" s="371"/>
      <c r="CQ14" s="371"/>
      <c r="CR14" s="370"/>
      <c r="CS14" s="370"/>
      <c r="CT14" s="371"/>
      <c r="CU14" s="371"/>
      <c r="CV14" s="370"/>
      <c r="CW14" s="370"/>
      <c r="CX14" s="371"/>
      <c r="CY14" s="371"/>
      <c r="CZ14" s="370"/>
      <c r="DA14" s="370"/>
      <c r="DB14" s="371"/>
      <c r="DC14" s="371"/>
      <c r="DD14" s="370"/>
      <c r="DE14" s="370"/>
      <c r="DF14" s="371"/>
      <c r="DG14" s="371"/>
      <c r="DH14" s="370"/>
      <c r="DI14" s="370"/>
      <c r="DJ14" s="371"/>
      <c r="DK14" s="371"/>
      <c r="DL14" s="370"/>
      <c r="DM14" s="370"/>
      <c r="DN14" s="371"/>
      <c r="DO14" s="371"/>
      <c r="DP14" s="370"/>
      <c r="DQ14" s="370"/>
      <c r="DR14" s="371"/>
      <c r="DS14" s="371"/>
      <c r="DT14" s="370"/>
      <c r="DU14" s="370"/>
      <c r="DV14" s="371"/>
      <c r="DW14" s="371"/>
      <c r="DX14" s="370"/>
      <c r="DY14" s="370"/>
      <c r="DZ14" s="371"/>
      <c r="EA14" s="371"/>
      <c r="EB14" s="370"/>
      <c r="EC14" s="370"/>
      <c r="ED14" s="371"/>
      <c r="EE14" s="371"/>
      <c r="EF14" s="370"/>
      <c r="EG14" s="370"/>
      <c r="EH14" s="371"/>
      <c r="EI14" s="371"/>
      <c r="EJ14" s="370"/>
      <c r="EK14" s="370"/>
      <c r="EL14" s="371"/>
      <c r="EM14" s="371"/>
      <c r="EN14" s="370"/>
      <c r="EO14" s="370"/>
      <c r="EP14" s="371"/>
      <c r="EQ14" s="371"/>
      <c r="ER14" s="370"/>
      <c r="ES14" s="370"/>
      <c r="ET14" s="371"/>
      <c r="EU14" s="371"/>
      <c r="EV14" s="370"/>
      <c r="EW14" s="370"/>
      <c r="EX14" s="371"/>
      <c r="EY14" s="371"/>
      <c r="EZ14" s="370"/>
      <c r="FA14" s="370"/>
      <c r="FB14" s="371"/>
      <c r="FC14" s="371"/>
      <c r="FD14" s="370"/>
      <c r="FE14" s="370"/>
      <c r="FF14" s="371"/>
      <c r="FG14" s="371"/>
      <c r="FH14" s="370"/>
      <c r="FI14" s="370"/>
      <c r="FJ14" s="371"/>
      <c r="FK14" s="371"/>
      <c r="FL14" s="370"/>
      <c r="FM14" s="370"/>
      <c r="FN14" s="371"/>
      <c r="FO14" s="371"/>
      <c r="FP14" s="370"/>
      <c r="FQ14" s="370"/>
      <c r="FR14" s="371"/>
      <c r="FS14" s="371"/>
      <c r="FT14" s="370"/>
      <c r="FU14" s="370"/>
      <c r="FV14" s="371"/>
      <c r="FW14" s="371"/>
      <c r="FX14" s="370"/>
      <c r="FY14" s="370"/>
      <c r="FZ14" s="371"/>
      <c r="GA14" s="371"/>
      <c r="GB14" s="370"/>
      <c r="GC14" s="370"/>
      <c r="GD14" s="371"/>
      <c r="GE14" s="371"/>
      <c r="GF14" s="370"/>
      <c r="GG14" s="370"/>
      <c r="GH14" s="371"/>
      <c r="GI14" s="371"/>
      <c r="GJ14" s="370"/>
      <c r="GK14" s="370"/>
      <c r="GL14" s="371"/>
      <c r="GM14" s="371"/>
      <c r="GN14" s="370"/>
      <c r="GO14" s="370"/>
      <c r="GP14" s="371"/>
      <c r="GQ14" s="371"/>
      <c r="GR14" s="370"/>
      <c r="GS14" s="370"/>
    </row>
    <row r="15">
      <c r="A15" s="365" t="s">
        <v>187</v>
      </c>
      <c r="B15" s="365"/>
      <c r="C15" s="365"/>
      <c r="D15" s="365"/>
      <c r="E15" s="365"/>
      <c r="F15" s="365"/>
      <c r="G15" s="365"/>
      <c r="H15" s="365"/>
      <c r="I15" s="365"/>
      <c r="J15" s="365"/>
      <c r="K15" s="365"/>
      <c r="L15" s="365"/>
      <c r="M15" s="365"/>
      <c r="N15" s="365"/>
      <c r="O15" s="365"/>
      <c r="P15" s="365"/>
      <c r="Q15" s="365"/>
      <c r="R15" s="365"/>
      <c r="S15" s="365"/>
      <c r="T15" s="365"/>
      <c r="U15" s="365"/>
      <c r="V15" s="365"/>
      <c r="W15" s="365"/>
      <c r="X15" s="365"/>
      <c r="Y15" s="365"/>
      <c r="Z15" s="365"/>
      <c r="AA15" s="365"/>
      <c r="AB15" s="365"/>
      <c r="AC15" s="365"/>
      <c r="AD15" s="365"/>
      <c r="AE15" s="365"/>
      <c r="AF15" s="365"/>
      <c r="AG15" s="365"/>
      <c r="AH15" s="365"/>
      <c r="AI15" s="365"/>
      <c r="AJ15" s="365"/>
      <c r="AK15" s="365"/>
      <c r="AL15" s="365"/>
      <c r="AM15" s="365"/>
      <c r="AN15" s="365"/>
      <c r="AO15" s="365"/>
      <c r="AP15" s="365"/>
      <c r="AQ15" s="365"/>
      <c r="AR15" s="365"/>
      <c r="AS15" s="365"/>
      <c r="AT15" s="365"/>
      <c r="AU15" s="365"/>
      <c r="AV15" s="365"/>
      <c r="AW15" s="365"/>
      <c r="AX15" s="365"/>
      <c r="AY15" s="365"/>
      <c r="AZ15" s="365"/>
      <c r="BA15" s="365"/>
      <c r="BB15" s="365"/>
      <c r="BC15" s="365"/>
      <c r="BD15" s="365"/>
      <c r="BE15" s="365"/>
      <c r="BF15" s="365"/>
      <c r="BG15" s="365"/>
      <c r="BH15" s="365"/>
      <c r="BI15" s="365"/>
      <c r="BJ15" s="365"/>
      <c r="BK15" s="365"/>
      <c r="BL15" s="365"/>
      <c r="BM15" s="365"/>
      <c r="BN15" s="365"/>
      <c r="BO15" s="365"/>
      <c r="BP15" s="365"/>
      <c r="BQ15" s="365"/>
      <c r="BR15" s="365"/>
      <c r="BS15" s="365"/>
      <c r="BT15" s="365"/>
      <c r="BU15" s="365"/>
      <c r="BV15" s="365"/>
      <c r="BW15" s="365"/>
      <c r="BX15" s="365"/>
      <c r="BY15" s="365"/>
      <c r="BZ15" s="365"/>
      <c r="CA15" s="365"/>
      <c r="CB15" s="365"/>
      <c r="CC15" s="365"/>
      <c r="CD15" s="365"/>
      <c r="CE15" s="365"/>
      <c r="CF15" s="365"/>
      <c r="CG15" s="365"/>
      <c r="CH15" s="365"/>
      <c r="CI15" s="365"/>
      <c r="CJ15" s="365"/>
      <c r="CK15" s="365"/>
      <c r="CL15" s="365"/>
      <c r="CM15" s="365"/>
      <c r="CN15" s="365"/>
      <c r="CO15" s="365"/>
      <c r="CP15" s="365"/>
      <c r="CQ15" s="365"/>
      <c r="CR15" s="365"/>
      <c r="CS15" s="365"/>
      <c r="CT15" s="365"/>
      <c r="CU15" s="365"/>
      <c r="CV15" s="365"/>
      <c r="CW15" s="365"/>
      <c r="CX15" s="365"/>
      <c r="CY15" s="365"/>
      <c r="CZ15" s="365"/>
      <c r="DA15" s="365"/>
      <c r="DB15" s="365"/>
      <c r="DC15" s="365"/>
      <c r="DD15" s="365"/>
      <c r="DE15" s="365"/>
      <c r="DF15" s="365"/>
      <c r="DG15" s="365"/>
      <c r="DH15" s="365"/>
      <c r="DI15" s="365"/>
      <c r="DJ15" s="365"/>
      <c r="DK15" s="365"/>
      <c r="DL15" s="365"/>
      <c r="DM15" s="365"/>
      <c r="DN15" s="365"/>
      <c r="DO15" s="365"/>
      <c r="DP15" s="365"/>
      <c r="DQ15" s="365"/>
      <c r="DR15" s="365"/>
      <c r="DS15" s="365"/>
      <c r="DT15" s="365"/>
      <c r="DU15" s="365"/>
      <c r="DV15" s="365"/>
      <c r="DW15" s="365"/>
      <c r="DX15" s="365"/>
      <c r="DY15" s="365"/>
      <c r="DZ15" s="365"/>
      <c r="EA15" s="365"/>
      <c r="EB15" s="365"/>
      <c r="EC15" s="365"/>
      <c r="ED15" s="365"/>
      <c r="EE15" s="365"/>
      <c r="EF15" s="365"/>
      <c r="EG15" s="365"/>
      <c r="EH15" s="365"/>
      <c r="EI15" s="365"/>
      <c r="EJ15" s="365"/>
      <c r="EK15" s="365"/>
      <c r="EL15" s="365"/>
      <c r="EM15" s="365"/>
      <c r="EN15" s="365"/>
      <c r="EO15" s="365"/>
      <c r="EP15" s="365"/>
      <c r="EQ15" s="365"/>
      <c r="ER15" s="365"/>
      <c r="ES15" s="365"/>
      <c r="ET15" s="365"/>
      <c r="EU15" s="365"/>
      <c r="EV15" s="365"/>
      <c r="EW15" s="365"/>
      <c r="EX15" s="365"/>
      <c r="EY15" s="365"/>
      <c r="EZ15" s="365"/>
      <c r="FA15" s="365"/>
      <c r="FB15" s="365"/>
      <c r="FC15" s="365"/>
      <c r="FD15" s="365"/>
      <c r="FE15" s="365"/>
      <c r="FF15" s="365"/>
      <c r="FG15" s="365"/>
      <c r="FH15" s="365"/>
      <c r="FI15" s="365"/>
      <c r="FJ15" s="365"/>
      <c r="FK15" s="365"/>
      <c r="FL15" s="365"/>
      <c r="FM15" s="365"/>
      <c r="FN15" s="365"/>
      <c r="FO15" s="365"/>
      <c r="FP15" s="365"/>
      <c r="FQ15" s="365"/>
      <c r="FR15" s="365"/>
      <c r="FS15" s="365"/>
      <c r="FT15" s="365"/>
      <c r="FU15" s="365"/>
      <c r="FV15" s="365"/>
      <c r="FW15" s="365"/>
      <c r="FX15" s="365"/>
      <c r="FY15" s="365"/>
      <c r="FZ15" s="365"/>
      <c r="GA15" s="365"/>
      <c r="GB15" s="365"/>
      <c r="GC15" s="365"/>
      <c r="GD15" s="365"/>
      <c r="GE15" s="365"/>
      <c r="GF15" s="365"/>
      <c r="GG15" s="365"/>
      <c r="GH15" s="365"/>
      <c r="GI15" s="365"/>
      <c r="GJ15" s="365"/>
      <c r="GK15" s="365"/>
      <c r="GL15" s="365"/>
      <c r="GM15" s="365"/>
      <c r="GN15" s="365"/>
      <c r="GO15" s="365"/>
      <c r="GP15" s="365"/>
      <c r="GQ15" s="365"/>
      <c r="GR15" s="365"/>
      <c r="GS15" s="365"/>
    </row>
    <row r="16">
      <c r="A16" s="367" t="s">
        <v>188</v>
      </c>
      <c r="B16" s="371"/>
      <c r="C16" s="371"/>
      <c r="D16" s="370"/>
      <c r="E16" s="370"/>
      <c r="F16" s="371"/>
      <c r="G16" s="371"/>
      <c r="H16" s="370"/>
      <c r="I16" s="370"/>
      <c r="J16" s="371"/>
      <c r="K16" s="371"/>
      <c r="L16" s="370"/>
      <c r="M16" s="370"/>
      <c r="N16" s="371"/>
      <c r="O16" s="371"/>
      <c r="P16" s="370"/>
      <c r="Q16" s="370"/>
      <c r="R16" s="371"/>
      <c r="S16" s="371"/>
      <c r="T16" s="370"/>
      <c r="U16" s="370"/>
      <c r="V16" s="371"/>
      <c r="W16" s="371"/>
      <c r="X16" s="370"/>
      <c r="Y16" s="370"/>
      <c r="Z16" s="371"/>
      <c r="AA16" s="371"/>
      <c r="AB16" s="370"/>
      <c r="AC16" s="370"/>
      <c r="AD16" s="371"/>
      <c r="AE16" s="371"/>
      <c r="AF16" s="370"/>
      <c r="AG16" s="370"/>
      <c r="AH16" s="371"/>
      <c r="AI16" s="371"/>
      <c r="AJ16" s="370"/>
      <c r="AK16" s="370"/>
      <c r="AL16" s="371"/>
      <c r="AM16" s="371"/>
      <c r="AN16" s="370"/>
      <c r="AO16" s="370"/>
      <c r="AP16" s="371"/>
      <c r="AQ16" s="371"/>
      <c r="AR16" s="370"/>
      <c r="AS16" s="370"/>
      <c r="AT16" s="371"/>
      <c r="AU16" s="371"/>
      <c r="AV16" s="370"/>
      <c r="AW16" s="370"/>
      <c r="AX16" s="371"/>
      <c r="AY16" s="371"/>
      <c r="AZ16" s="370"/>
      <c r="BA16" s="370"/>
      <c r="BB16" s="371"/>
      <c r="BC16" s="371"/>
      <c r="BD16" s="370"/>
      <c r="BE16" s="370"/>
      <c r="BF16" s="371"/>
      <c r="BG16" s="371"/>
      <c r="BH16" s="370"/>
      <c r="BI16" s="370"/>
      <c r="BJ16" s="371"/>
      <c r="BK16" s="371"/>
      <c r="BL16" s="370"/>
      <c r="BM16" s="370"/>
      <c r="BN16" s="371"/>
      <c r="BO16" s="371"/>
      <c r="BP16" s="370"/>
      <c r="BQ16" s="370"/>
      <c r="BR16" s="371"/>
      <c r="BS16" s="371"/>
      <c r="BT16" s="370"/>
      <c r="BU16" s="370"/>
      <c r="BV16" s="371"/>
      <c r="BW16" s="371"/>
      <c r="BX16" s="370"/>
      <c r="BY16" s="370"/>
      <c r="BZ16" s="371"/>
      <c r="CA16" s="371"/>
      <c r="CB16" s="370"/>
      <c r="CC16" s="370"/>
      <c r="CD16" s="371"/>
      <c r="CE16" s="371"/>
      <c r="CF16" s="370"/>
      <c r="CG16" s="370"/>
      <c r="CH16" s="371"/>
      <c r="CI16" s="371"/>
      <c r="CJ16" s="370"/>
      <c r="CK16" s="370"/>
      <c r="CL16" s="371"/>
      <c r="CM16" s="371"/>
      <c r="CN16" s="370"/>
      <c r="CO16" s="370"/>
      <c r="CP16" s="371"/>
      <c r="CQ16" s="371"/>
      <c r="CR16" s="370"/>
      <c r="CS16" s="370"/>
      <c r="CT16" s="371"/>
      <c r="CU16" s="371"/>
      <c r="CV16" s="370"/>
      <c r="CW16" s="370"/>
      <c r="CX16" s="371"/>
      <c r="CY16" s="371"/>
      <c r="CZ16" s="370"/>
      <c r="DA16" s="370"/>
      <c r="DB16" s="371"/>
      <c r="DC16" s="371"/>
      <c r="DD16" s="370"/>
      <c r="DE16" s="370"/>
      <c r="DF16" s="371"/>
      <c r="DG16" s="371"/>
      <c r="DH16" s="370"/>
      <c r="DI16" s="370"/>
      <c r="DJ16" s="371"/>
      <c r="DK16" s="371"/>
      <c r="DL16" s="370"/>
      <c r="DM16" s="370"/>
      <c r="DN16" s="371"/>
      <c r="DO16" s="371"/>
      <c r="DP16" s="370"/>
      <c r="DQ16" s="370"/>
      <c r="DR16" s="371"/>
      <c r="DS16" s="371"/>
      <c r="DT16" s="370"/>
      <c r="DU16" s="370"/>
      <c r="DV16" s="371"/>
      <c r="DW16" s="371"/>
      <c r="DX16" s="370"/>
      <c r="DY16" s="370"/>
      <c r="DZ16" s="371"/>
      <c r="EA16" s="371"/>
      <c r="EB16" s="370"/>
      <c r="EC16" s="370"/>
      <c r="ED16" s="371"/>
      <c r="EE16" s="371"/>
      <c r="EF16" s="370"/>
      <c r="EG16" s="370"/>
      <c r="EH16" s="371"/>
      <c r="EI16" s="371"/>
      <c r="EJ16" s="370"/>
      <c r="EK16" s="370"/>
      <c r="EL16" s="371"/>
      <c r="EM16" s="371"/>
      <c r="EN16" s="370"/>
      <c r="EO16" s="370"/>
      <c r="EP16" s="371"/>
      <c r="EQ16" s="371"/>
      <c r="ER16" s="370"/>
      <c r="ES16" s="370"/>
      <c r="ET16" s="371"/>
      <c r="EU16" s="371"/>
      <c r="EV16" s="370"/>
      <c r="EW16" s="370"/>
      <c r="EX16" s="371"/>
      <c r="EY16" s="371"/>
      <c r="EZ16" s="370"/>
      <c r="FA16" s="370"/>
      <c r="FB16" s="371"/>
      <c r="FC16" s="371"/>
      <c r="FD16" s="370"/>
      <c r="FE16" s="370"/>
      <c r="FF16" s="371"/>
      <c r="FG16" s="371"/>
      <c r="FH16" s="370"/>
      <c r="FI16" s="370"/>
      <c r="FJ16" s="371"/>
      <c r="FK16" s="371"/>
      <c r="FL16" s="370"/>
      <c r="FM16" s="370"/>
      <c r="FN16" s="371"/>
      <c r="FO16" s="371"/>
      <c r="FP16" s="370"/>
      <c r="FQ16" s="370"/>
      <c r="FR16" s="371"/>
      <c r="FS16" s="371"/>
      <c r="FT16" s="370"/>
      <c r="FU16" s="370"/>
      <c r="FV16" s="371"/>
      <c r="FW16" s="371"/>
      <c r="FX16" s="370"/>
      <c r="FY16" s="370"/>
      <c r="FZ16" s="371"/>
      <c r="GA16" s="371"/>
      <c r="GB16" s="370"/>
      <c r="GC16" s="370"/>
      <c r="GD16" s="371"/>
      <c r="GE16" s="371"/>
      <c r="GF16" s="370"/>
      <c r="GG16" s="370"/>
      <c r="GH16" s="371"/>
      <c r="GI16" s="371"/>
      <c r="GJ16" s="370"/>
      <c r="GK16" s="370"/>
      <c r="GL16" s="371"/>
      <c r="GM16" s="371"/>
      <c r="GN16" s="370"/>
      <c r="GO16" s="370"/>
      <c r="GP16" s="371"/>
      <c r="GQ16" s="371"/>
      <c r="GR16" s="370"/>
      <c r="GS16" s="370"/>
    </row>
    <row r="17">
      <c r="A17" s="367" t="s">
        <v>189</v>
      </c>
      <c r="B17" s="371"/>
      <c r="C17" s="371"/>
      <c r="D17" s="370"/>
      <c r="E17" s="370"/>
      <c r="F17" s="371"/>
      <c r="G17" s="371"/>
      <c r="H17" s="370"/>
      <c r="I17" s="370"/>
      <c r="J17" s="371"/>
      <c r="K17" s="371"/>
      <c r="L17" s="370"/>
      <c r="M17" s="370"/>
      <c r="N17" s="371"/>
      <c r="O17" s="371"/>
      <c r="P17" s="370"/>
      <c r="Q17" s="370"/>
      <c r="R17" s="371"/>
      <c r="S17" s="371"/>
      <c r="T17" s="370"/>
      <c r="U17" s="370"/>
      <c r="V17" s="371"/>
      <c r="W17" s="371"/>
      <c r="X17" s="370"/>
      <c r="Y17" s="370"/>
      <c r="Z17" s="371"/>
      <c r="AA17" s="371"/>
      <c r="AB17" s="370"/>
      <c r="AC17" s="370"/>
      <c r="AD17" s="371"/>
      <c r="AE17" s="371"/>
      <c r="AF17" s="370"/>
      <c r="AG17" s="370"/>
      <c r="AH17" s="371"/>
      <c r="AI17" s="371"/>
      <c r="AJ17" s="370"/>
      <c r="AK17" s="370"/>
      <c r="AL17" s="371"/>
      <c r="AM17" s="371"/>
      <c r="AN17" s="370"/>
      <c r="AO17" s="370"/>
      <c r="AP17" s="371"/>
      <c r="AQ17" s="371"/>
      <c r="AR17" s="370"/>
      <c r="AS17" s="370"/>
      <c r="AT17" s="371"/>
      <c r="AU17" s="371"/>
      <c r="AV17" s="370"/>
      <c r="AW17" s="370"/>
      <c r="AX17" s="371"/>
      <c r="AY17" s="371"/>
      <c r="AZ17" s="370"/>
      <c r="BA17" s="370"/>
      <c r="BB17" s="371"/>
      <c r="BC17" s="371"/>
      <c r="BD17" s="370"/>
      <c r="BE17" s="370"/>
      <c r="BF17" s="371"/>
      <c r="BG17" s="371"/>
      <c r="BH17" s="370"/>
      <c r="BI17" s="370"/>
      <c r="BJ17" s="371"/>
      <c r="BK17" s="371"/>
      <c r="BL17" s="370"/>
      <c r="BM17" s="370"/>
      <c r="BN17" s="371"/>
      <c r="BO17" s="371"/>
      <c r="BP17" s="370"/>
      <c r="BQ17" s="370"/>
      <c r="BR17" s="371"/>
      <c r="BS17" s="371"/>
      <c r="BT17" s="370"/>
      <c r="BU17" s="370"/>
      <c r="BV17" s="371"/>
      <c r="BW17" s="371"/>
      <c r="BX17" s="370"/>
      <c r="BY17" s="370"/>
      <c r="BZ17" s="371"/>
      <c r="CA17" s="371"/>
      <c r="CB17" s="370"/>
      <c r="CC17" s="370"/>
      <c r="CD17" s="371"/>
      <c r="CE17" s="371"/>
      <c r="CF17" s="370"/>
      <c r="CG17" s="370"/>
      <c r="CH17" s="371"/>
      <c r="CI17" s="371"/>
      <c r="CJ17" s="370"/>
      <c r="CK17" s="370"/>
      <c r="CL17" s="371"/>
      <c r="CM17" s="371"/>
      <c r="CN17" s="370"/>
      <c r="CO17" s="370"/>
      <c r="CP17" s="371"/>
      <c r="CQ17" s="371"/>
      <c r="CR17" s="370"/>
      <c r="CS17" s="370"/>
      <c r="CT17" s="371"/>
      <c r="CU17" s="371"/>
      <c r="CV17" s="370"/>
      <c r="CW17" s="370"/>
      <c r="CX17" s="371"/>
      <c r="CY17" s="371"/>
      <c r="CZ17" s="370"/>
      <c r="DA17" s="370"/>
      <c r="DB17" s="371"/>
      <c r="DC17" s="371"/>
      <c r="DD17" s="370"/>
      <c r="DE17" s="370"/>
      <c r="DF17" s="371"/>
      <c r="DG17" s="371"/>
      <c r="DH17" s="370"/>
      <c r="DI17" s="370"/>
      <c r="DJ17" s="371"/>
      <c r="DK17" s="371"/>
      <c r="DL17" s="370"/>
      <c r="DM17" s="370"/>
      <c r="DN17" s="371"/>
      <c r="DO17" s="371"/>
      <c r="DP17" s="370"/>
      <c r="DQ17" s="370"/>
      <c r="DR17" s="371"/>
      <c r="DS17" s="371"/>
      <c r="DT17" s="370"/>
      <c r="DU17" s="370"/>
      <c r="DV17" s="371"/>
      <c r="DW17" s="371"/>
      <c r="DX17" s="370"/>
      <c r="DY17" s="370"/>
      <c r="DZ17" s="371"/>
      <c r="EA17" s="371"/>
      <c r="EB17" s="370"/>
      <c r="EC17" s="370"/>
      <c r="ED17" s="371"/>
      <c r="EE17" s="371"/>
      <c r="EF17" s="370"/>
      <c r="EG17" s="370"/>
      <c r="EH17" s="371"/>
      <c r="EI17" s="371"/>
      <c r="EJ17" s="370"/>
      <c r="EK17" s="370"/>
      <c r="EL17" s="371"/>
      <c r="EM17" s="371"/>
      <c r="EN17" s="370"/>
      <c r="EO17" s="370"/>
      <c r="EP17" s="371"/>
      <c r="EQ17" s="371"/>
      <c r="ER17" s="370"/>
      <c r="ES17" s="370"/>
      <c r="ET17" s="371"/>
      <c r="EU17" s="371"/>
      <c r="EV17" s="370"/>
      <c r="EW17" s="370"/>
      <c r="EX17" s="371"/>
      <c r="EY17" s="371"/>
      <c r="EZ17" s="370"/>
      <c r="FA17" s="370"/>
      <c r="FB17" s="371"/>
      <c r="FC17" s="371"/>
      <c r="FD17" s="370"/>
      <c r="FE17" s="370"/>
      <c r="FF17" s="371"/>
      <c r="FG17" s="371"/>
      <c r="FH17" s="370"/>
      <c r="FI17" s="370"/>
      <c r="FJ17" s="371"/>
      <c r="FK17" s="371"/>
      <c r="FL17" s="370"/>
      <c r="FM17" s="370"/>
      <c r="FN17" s="371"/>
      <c r="FO17" s="371"/>
      <c r="FP17" s="370"/>
      <c r="FQ17" s="370"/>
      <c r="FR17" s="371"/>
      <c r="FS17" s="371"/>
      <c r="FT17" s="370"/>
      <c r="FU17" s="370"/>
      <c r="FV17" s="371"/>
      <c r="FW17" s="371"/>
      <c r="FX17" s="370"/>
      <c r="FY17" s="370"/>
      <c r="FZ17" s="371"/>
      <c r="GA17" s="371"/>
      <c r="GB17" s="370"/>
      <c r="GC17" s="370"/>
      <c r="GD17" s="371"/>
      <c r="GE17" s="371"/>
      <c r="GF17" s="370"/>
      <c r="GG17" s="370"/>
      <c r="GH17" s="371"/>
      <c r="GI17" s="371"/>
      <c r="GJ17" s="370"/>
      <c r="GK17" s="370"/>
      <c r="GL17" s="371"/>
      <c r="GM17" s="371"/>
      <c r="GN17" s="370"/>
      <c r="GO17" s="370"/>
      <c r="GP17" s="371"/>
      <c r="GQ17" s="371"/>
      <c r="GR17" s="370"/>
      <c r="GS17" s="370"/>
    </row>
    <row r="18">
      <c r="A18" s="367" t="s">
        <v>190</v>
      </c>
      <c r="B18" s="371"/>
      <c r="C18" s="371"/>
      <c r="D18" s="370"/>
      <c r="E18" s="370"/>
      <c r="F18" s="371"/>
      <c r="G18" s="371"/>
      <c r="H18" s="370"/>
      <c r="I18" s="370"/>
      <c r="J18" s="371"/>
      <c r="K18" s="371"/>
      <c r="L18" s="370"/>
      <c r="M18" s="370"/>
      <c r="N18" s="371"/>
      <c r="O18" s="371"/>
      <c r="P18" s="370"/>
      <c r="Q18" s="370"/>
      <c r="R18" s="371"/>
      <c r="S18" s="371"/>
      <c r="T18" s="370"/>
      <c r="U18" s="370"/>
      <c r="V18" s="371"/>
      <c r="W18" s="371"/>
      <c r="X18" s="370"/>
      <c r="Y18" s="370"/>
      <c r="Z18" s="371"/>
      <c r="AA18" s="371"/>
      <c r="AB18" s="370"/>
      <c r="AC18" s="370"/>
      <c r="AD18" s="371"/>
      <c r="AE18" s="371"/>
      <c r="AF18" s="370"/>
      <c r="AG18" s="370"/>
      <c r="AH18" s="371"/>
      <c r="AI18" s="371"/>
      <c r="AJ18" s="370"/>
      <c r="AK18" s="370"/>
      <c r="AL18" s="371"/>
      <c r="AM18" s="371"/>
      <c r="AN18" s="370"/>
      <c r="AO18" s="370"/>
      <c r="AP18" s="371"/>
      <c r="AQ18" s="371"/>
      <c r="AR18" s="370"/>
      <c r="AS18" s="370"/>
      <c r="AT18" s="371"/>
      <c r="AU18" s="371"/>
      <c r="AV18" s="370"/>
      <c r="AW18" s="370"/>
      <c r="AX18" s="371"/>
      <c r="AY18" s="371"/>
      <c r="AZ18" s="370"/>
      <c r="BA18" s="370"/>
      <c r="BB18" s="371"/>
      <c r="BC18" s="371"/>
      <c r="BD18" s="370"/>
      <c r="BE18" s="370"/>
      <c r="BF18" s="371"/>
      <c r="BG18" s="371"/>
      <c r="BH18" s="370"/>
      <c r="BI18" s="370"/>
      <c r="BJ18" s="371"/>
      <c r="BK18" s="371"/>
      <c r="BL18" s="370"/>
      <c r="BM18" s="370"/>
      <c r="BN18" s="371"/>
      <c r="BO18" s="371"/>
      <c r="BP18" s="370"/>
      <c r="BQ18" s="370"/>
      <c r="BR18" s="371"/>
      <c r="BS18" s="371"/>
      <c r="BT18" s="370"/>
      <c r="BU18" s="370"/>
      <c r="BV18" s="371"/>
      <c r="BW18" s="371"/>
      <c r="BX18" s="370"/>
      <c r="BY18" s="370"/>
      <c r="BZ18" s="371"/>
      <c r="CA18" s="371"/>
      <c r="CB18" s="370"/>
      <c r="CC18" s="370"/>
      <c r="CD18" s="371"/>
      <c r="CE18" s="371"/>
      <c r="CF18" s="370"/>
      <c r="CG18" s="370"/>
      <c r="CH18" s="371"/>
      <c r="CI18" s="371"/>
      <c r="CJ18" s="370"/>
      <c r="CK18" s="370"/>
      <c r="CL18" s="371"/>
      <c r="CM18" s="371"/>
      <c r="CN18" s="370"/>
      <c r="CO18" s="370"/>
      <c r="CP18" s="371"/>
      <c r="CQ18" s="371"/>
      <c r="CR18" s="370"/>
      <c r="CS18" s="370"/>
      <c r="CT18" s="371"/>
      <c r="CU18" s="371"/>
      <c r="CV18" s="370"/>
      <c r="CW18" s="370"/>
      <c r="CX18" s="371"/>
      <c r="CY18" s="371"/>
      <c r="CZ18" s="370"/>
      <c r="DA18" s="370"/>
      <c r="DB18" s="371"/>
      <c r="DC18" s="371"/>
      <c r="DD18" s="370"/>
      <c r="DE18" s="370"/>
      <c r="DF18" s="371"/>
      <c r="DG18" s="371"/>
      <c r="DH18" s="370"/>
      <c r="DI18" s="370"/>
      <c r="DJ18" s="371"/>
      <c r="DK18" s="371"/>
      <c r="DL18" s="370"/>
      <c r="DM18" s="370"/>
      <c r="DN18" s="371"/>
      <c r="DO18" s="371"/>
      <c r="DP18" s="370"/>
      <c r="DQ18" s="370"/>
      <c r="DR18" s="371"/>
      <c r="DS18" s="371"/>
      <c r="DT18" s="370"/>
      <c r="DU18" s="370"/>
      <c r="DV18" s="371"/>
      <c r="DW18" s="371"/>
      <c r="DX18" s="370"/>
      <c r="DY18" s="370"/>
      <c r="DZ18" s="371"/>
      <c r="EA18" s="371"/>
      <c r="EB18" s="370"/>
      <c r="EC18" s="370"/>
      <c r="ED18" s="371"/>
      <c r="EE18" s="371"/>
      <c r="EF18" s="370"/>
      <c r="EG18" s="370"/>
      <c r="EH18" s="371"/>
      <c r="EI18" s="371"/>
      <c r="EJ18" s="370"/>
      <c r="EK18" s="370"/>
      <c r="EL18" s="371"/>
      <c r="EM18" s="371"/>
      <c r="EN18" s="370"/>
      <c r="EO18" s="370"/>
      <c r="EP18" s="371"/>
      <c r="EQ18" s="371"/>
      <c r="ER18" s="370"/>
      <c r="ES18" s="370"/>
      <c r="ET18" s="371"/>
      <c r="EU18" s="371"/>
      <c r="EV18" s="370"/>
      <c r="EW18" s="370"/>
      <c r="EX18" s="371"/>
      <c r="EY18" s="371"/>
      <c r="EZ18" s="370"/>
      <c r="FA18" s="370"/>
      <c r="FB18" s="371"/>
      <c r="FC18" s="371"/>
      <c r="FD18" s="370"/>
      <c r="FE18" s="370"/>
      <c r="FF18" s="371"/>
      <c r="FG18" s="371"/>
      <c r="FH18" s="370"/>
      <c r="FI18" s="370"/>
      <c r="FJ18" s="371"/>
      <c r="FK18" s="371"/>
      <c r="FL18" s="370"/>
      <c r="FM18" s="370"/>
      <c r="FN18" s="371"/>
      <c r="FO18" s="371"/>
      <c r="FP18" s="370"/>
      <c r="FQ18" s="370"/>
      <c r="FR18" s="371"/>
      <c r="FS18" s="371"/>
      <c r="FT18" s="370"/>
      <c r="FU18" s="370"/>
      <c r="FV18" s="371"/>
      <c r="FW18" s="371"/>
      <c r="FX18" s="370"/>
      <c r="FY18" s="370"/>
      <c r="FZ18" s="371"/>
      <c r="GA18" s="371"/>
      <c r="GB18" s="370"/>
      <c r="GC18" s="370"/>
      <c r="GD18" s="371"/>
      <c r="GE18" s="371"/>
      <c r="GF18" s="370"/>
      <c r="GG18" s="370"/>
      <c r="GH18" s="371"/>
      <c r="GI18" s="371"/>
      <c r="GJ18" s="370"/>
      <c r="GK18" s="370"/>
      <c r="GL18" s="371"/>
      <c r="GM18" s="371"/>
      <c r="GN18" s="370"/>
      <c r="GO18" s="370"/>
      <c r="GP18" s="371"/>
      <c r="GQ18" s="371"/>
      <c r="GR18" s="370"/>
      <c r="GS18" s="370"/>
    </row>
    <row r="19">
      <c r="A19" s="365" t="s">
        <v>191</v>
      </c>
      <c r="B19" s="365"/>
      <c r="C19" s="365"/>
      <c r="D19" s="365"/>
      <c r="E19" s="365"/>
      <c r="F19" s="365"/>
      <c r="G19" s="365"/>
      <c r="H19" s="365"/>
      <c r="I19" s="365"/>
      <c r="J19" s="365"/>
      <c r="K19" s="365"/>
      <c r="L19" s="365"/>
      <c r="M19" s="365"/>
      <c r="N19" s="365"/>
      <c r="O19" s="365"/>
      <c r="P19" s="365"/>
      <c r="Q19" s="365"/>
      <c r="R19" s="365"/>
      <c r="S19" s="365"/>
      <c r="T19" s="365"/>
      <c r="U19" s="365"/>
      <c r="V19" s="365"/>
      <c r="W19" s="365"/>
      <c r="X19" s="365"/>
      <c r="Y19" s="365"/>
      <c r="Z19" s="365"/>
      <c r="AA19" s="365"/>
      <c r="AB19" s="365"/>
      <c r="AC19" s="365"/>
      <c r="AD19" s="365"/>
      <c r="AE19" s="365"/>
      <c r="AF19" s="365"/>
      <c r="AG19" s="365"/>
      <c r="AH19" s="365"/>
      <c r="AI19" s="365"/>
      <c r="AJ19" s="365"/>
      <c r="AK19" s="365"/>
      <c r="AL19" s="365"/>
      <c r="AM19" s="365"/>
      <c r="AN19" s="365"/>
      <c r="AO19" s="365"/>
      <c r="AP19" s="365"/>
      <c r="AQ19" s="365"/>
      <c r="AR19" s="365"/>
      <c r="AS19" s="365"/>
      <c r="AT19" s="365"/>
      <c r="AU19" s="365"/>
      <c r="AV19" s="365"/>
      <c r="AW19" s="365"/>
      <c r="AX19" s="365"/>
      <c r="AY19" s="365"/>
      <c r="AZ19" s="365"/>
      <c r="BA19" s="365"/>
      <c r="BB19" s="365"/>
      <c r="BC19" s="365"/>
      <c r="BD19" s="365"/>
      <c r="BE19" s="365"/>
      <c r="BF19" s="365"/>
      <c r="BG19" s="365"/>
      <c r="BH19" s="365"/>
      <c r="BI19" s="365"/>
      <c r="BJ19" s="365"/>
      <c r="BK19" s="365"/>
      <c r="BL19" s="365"/>
      <c r="BM19" s="365"/>
      <c r="BN19" s="365"/>
      <c r="BO19" s="365"/>
      <c r="BP19" s="365"/>
      <c r="BQ19" s="365"/>
      <c r="BR19" s="365"/>
      <c r="BS19" s="365"/>
      <c r="BT19" s="365"/>
      <c r="BU19" s="365"/>
      <c r="BV19" s="365"/>
      <c r="BW19" s="365"/>
      <c r="BX19" s="365"/>
      <c r="BY19" s="365"/>
      <c r="BZ19" s="365"/>
      <c r="CA19" s="365"/>
      <c r="CB19" s="365"/>
      <c r="CC19" s="365"/>
      <c r="CD19" s="365"/>
      <c r="CE19" s="365"/>
      <c r="CF19" s="365"/>
      <c r="CG19" s="365"/>
      <c r="CH19" s="365"/>
      <c r="CI19" s="365"/>
      <c r="CJ19" s="365"/>
      <c r="CK19" s="365"/>
      <c r="CL19" s="365"/>
      <c r="CM19" s="365"/>
      <c r="CN19" s="365"/>
      <c r="CO19" s="365"/>
      <c r="CP19" s="365"/>
      <c r="CQ19" s="365"/>
      <c r="CR19" s="365"/>
      <c r="CS19" s="365"/>
      <c r="CT19" s="365"/>
      <c r="CU19" s="365"/>
      <c r="CV19" s="365"/>
      <c r="CW19" s="365"/>
      <c r="CX19" s="365"/>
      <c r="CY19" s="365"/>
      <c r="CZ19" s="365"/>
      <c r="DA19" s="365"/>
      <c r="DB19" s="365"/>
      <c r="DC19" s="365"/>
      <c r="DD19" s="365"/>
      <c r="DE19" s="365"/>
      <c r="DF19" s="365"/>
      <c r="DG19" s="365"/>
      <c r="DH19" s="365"/>
      <c r="DI19" s="365"/>
      <c r="DJ19" s="365"/>
      <c r="DK19" s="365"/>
      <c r="DL19" s="365"/>
      <c r="DM19" s="365"/>
      <c r="DN19" s="365"/>
      <c r="DO19" s="365"/>
      <c r="DP19" s="365"/>
      <c r="DQ19" s="365"/>
      <c r="DR19" s="365"/>
      <c r="DS19" s="365"/>
      <c r="DT19" s="365"/>
      <c r="DU19" s="365"/>
      <c r="DV19" s="365"/>
      <c r="DW19" s="365"/>
      <c r="DX19" s="365"/>
      <c r="DY19" s="365"/>
      <c r="DZ19" s="365"/>
      <c r="EA19" s="365"/>
      <c r="EB19" s="365"/>
      <c r="EC19" s="365"/>
      <c r="ED19" s="365"/>
      <c r="EE19" s="365"/>
      <c r="EF19" s="365"/>
      <c r="EG19" s="365"/>
      <c r="EH19" s="365"/>
      <c r="EI19" s="365"/>
      <c r="EJ19" s="365"/>
      <c r="EK19" s="365"/>
      <c r="EL19" s="365"/>
      <c r="EM19" s="365"/>
      <c r="EN19" s="365"/>
      <c r="EO19" s="365"/>
      <c r="EP19" s="365"/>
      <c r="EQ19" s="365"/>
      <c r="ER19" s="365"/>
      <c r="ES19" s="365"/>
      <c r="ET19" s="365"/>
      <c r="EU19" s="365"/>
      <c r="EV19" s="365"/>
      <c r="EW19" s="365"/>
      <c r="EX19" s="365"/>
      <c r="EY19" s="365"/>
      <c r="EZ19" s="365"/>
      <c r="FA19" s="365"/>
      <c r="FB19" s="365"/>
      <c r="FC19" s="365"/>
      <c r="FD19" s="365"/>
      <c r="FE19" s="365"/>
      <c r="FF19" s="365"/>
      <c r="FG19" s="365"/>
      <c r="FH19" s="365"/>
      <c r="FI19" s="365"/>
      <c r="FJ19" s="365"/>
      <c r="FK19" s="365"/>
      <c r="FL19" s="365"/>
      <c r="FM19" s="365"/>
      <c r="FN19" s="365"/>
      <c r="FO19" s="365"/>
      <c r="FP19" s="365"/>
      <c r="FQ19" s="365"/>
      <c r="FR19" s="365"/>
      <c r="FS19" s="365"/>
      <c r="FT19" s="365"/>
      <c r="FU19" s="365"/>
      <c r="FV19" s="365"/>
      <c r="FW19" s="365"/>
      <c r="FX19" s="365"/>
      <c r="FY19" s="365"/>
      <c r="FZ19" s="365"/>
      <c r="GA19" s="365"/>
      <c r="GB19" s="365"/>
      <c r="GC19" s="365"/>
      <c r="GD19" s="365"/>
      <c r="GE19" s="365"/>
      <c r="GF19" s="365"/>
      <c r="GG19" s="365"/>
      <c r="GH19" s="365"/>
      <c r="GI19" s="365"/>
      <c r="GJ19" s="365"/>
      <c r="GK19" s="365"/>
      <c r="GL19" s="365"/>
      <c r="GM19" s="365"/>
      <c r="GN19" s="365"/>
      <c r="GO19" s="365"/>
      <c r="GP19" s="365"/>
      <c r="GQ19" s="365"/>
      <c r="GR19" s="365"/>
      <c r="GS19" s="365"/>
    </row>
    <row r="20">
      <c r="A20" s="367" t="s">
        <v>192</v>
      </c>
      <c r="B20" s="371"/>
      <c r="C20" s="371"/>
      <c r="D20" s="370"/>
      <c r="E20" s="370"/>
      <c r="F20" s="371"/>
      <c r="G20" s="371"/>
      <c r="H20" s="370"/>
      <c r="I20" s="370"/>
      <c r="J20" s="371"/>
      <c r="K20" s="371"/>
      <c r="L20" s="370"/>
      <c r="M20" s="370"/>
      <c r="N20" s="371"/>
      <c r="O20" s="371"/>
      <c r="P20" s="370"/>
      <c r="Q20" s="370"/>
      <c r="R20" s="371"/>
      <c r="S20" s="371"/>
      <c r="T20" s="370"/>
      <c r="U20" s="370"/>
      <c r="V20" s="371"/>
      <c r="W20" s="371"/>
      <c r="X20" s="370"/>
      <c r="Y20" s="370"/>
      <c r="Z20" s="371"/>
      <c r="AA20" s="371"/>
      <c r="AB20" s="370"/>
      <c r="AC20" s="370"/>
      <c r="AD20" s="371"/>
      <c r="AE20" s="371"/>
      <c r="AF20" s="370"/>
      <c r="AG20" s="370"/>
      <c r="AH20" s="371"/>
      <c r="AI20" s="371"/>
      <c r="AJ20" s="370"/>
      <c r="AK20" s="370"/>
      <c r="AL20" s="371"/>
      <c r="AM20" s="371"/>
      <c r="AN20" s="370"/>
      <c r="AO20" s="370"/>
      <c r="AP20" s="371"/>
      <c r="AQ20" s="371"/>
      <c r="AR20" s="370"/>
      <c r="AS20" s="370"/>
      <c r="AT20" s="371"/>
      <c r="AU20" s="371"/>
      <c r="AV20" s="370"/>
      <c r="AW20" s="370"/>
      <c r="AX20" s="371"/>
      <c r="AY20" s="371"/>
      <c r="AZ20" s="370"/>
      <c r="BA20" s="370"/>
      <c r="BB20" s="371"/>
      <c r="BC20" s="371"/>
      <c r="BD20" s="370"/>
      <c r="BE20" s="370"/>
      <c r="BF20" s="371"/>
      <c r="BG20" s="371"/>
      <c r="BH20" s="370"/>
      <c r="BI20" s="370"/>
      <c r="BJ20" s="371"/>
      <c r="BK20" s="371"/>
      <c r="BL20" s="370"/>
      <c r="BM20" s="370"/>
      <c r="BN20" s="371"/>
      <c r="BO20" s="371"/>
      <c r="BP20" s="370"/>
      <c r="BQ20" s="370"/>
      <c r="BR20" s="371"/>
      <c r="BS20" s="371"/>
      <c r="BT20" s="370"/>
      <c r="BU20" s="370"/>
      <c r="BV20" s="371"/>
      <c r="BW20" s="371"/>
      <c r="BX20" s="370"/>
      <c r="BY20" s="370"/>
      <c r="BZ20" s="371"/>
      <c r="CA20" s="371"/>
      <c r="CB20" s="370"/>
      <c r="CC20" s="370"/>
      <c r="CD20" s="371"/>
      <c r="CE20" s="371"/>
      <c r="CF20" s="370"/>
      <c r="CG20" s="370"/>
      <c r="CH20" s="371"/>
      <c r="CI20" s="371"/>
      <c r="CJ20" s="370"/>
      <c r="CK20" s="370"/>
      <c r="CL20" s="371"/>
      <c r="CM20" s="371"/>
      <c r="CN20" s="370"/>
      <c r="CO20" s="370"/>
      <c r="CP20" s="371"/>
      <c r="CQ20" s="371"/>
      <c r="CR20" s="370"/>
      <c r="CS20" s="370"/>
      <c r="CT20" s="371"/>
      <c r="CU20" s="371"/>
      <c r="CV20" s="370"/>
      <c r="CW20" s="370"/>
      <c r="CX20" s="371"/>
      <c r="CY20" s="371"/>
      <c r="CZ20" s="370"/>
      <c r="DA20" s="370"/>
      <c r="DB20" s="371"/>
      <c r="DC20" s="371"/>
      <c r="DD20" s="370"/>
      <c r="DE20" s="370"/>
      <c r="DF20" s="371"/>
      <c r="DG20" s="371"/>
      <c r="DH20" s="370"/>
      <c r="DI20" s="370"/>
      <c r="DJ20" s="371"/>
      <c r="DK20" s="371"/>
      <c r="DL20" s="370"/>
      <c r="DM20" s="370"/>
      <c r="DN20" s="371"/>
      <c r="DO20" s="371"/>
      <c r="DP20" s="370"/>
      <c r="DQ20" s="370"/>
      <c r="DR20" s="371"/>
      <c r="DS20" s="371"/>
      <c r="DT20" s="370"/>
      <c r="DU20" s="370"/>
      <c r="DV20" s="371"/>
      <c r="DW20" s="371"/>
      <c r="DX20" s="370"/>
      <c r="DY20" s="370"/>
      <c r="DZ20" s="371"/>
      <c r="EA20" s="371"/>
      <c r="EB20" s="370"/>
      <c r="EC20" s="370"/>
      <c r="ED20" s="371"/>
      <c r="EE20" s="371"/>
      <c r="EF20" s="370"/>
      <c r="EG20" s="370"/>
      <c r="EH20" s="371"/>
      <c r="EI20" s="371"/>
      <c r="EJ20" s="370"/>
      <c r="EK20" s="370"/>
      <c r="EL20" s="371"/>
      <c r="EM20" s="371"/>
      <c r="EN20" s="370"/>
      <c r="EO20" s="370"/>
      <c r="EP20" s="371"/>
      <c r="EQ20" s="371"/>
      <c r="ER20" s="370"/>
      <c r="ES20" s="370"/>
      <c r="ET20" s="371"/>
      <c r="EU20" s="371"/>
      <c r="EV20" s="370"/>
      <c r="EW20" s="370"/>
      <c r="EX20" s="371"/>
      <c r="EY20" s="371"/>
      <c r="EZ20" s="370"/>
      <c r="FA20" s="370"/>
      <c r="FB20" s="371"/>
      <c r="FC20" s="371"/>
      <c r="FD20" s="370"/>
      <c r="FE20" s="370"/>
      <c r="FF20" s="371"/>
      <c r="FG20" s="371"/>
      <c r="FH20" s="370"/>
      <c r="FI20" s="370"/>
      <c r="FJ20" s="371"/>
      <c r="FK20" s="371"/>
      <c r="FL20" s="370"/>
      <c r="FM20" s="370"/>
      <c r="FN20" s="371"/>
      <c r="FO20" s="371"/>
      <c r="FP20" s="370"/>
      <c r="FQ20" s="370"/>
      <c r="FR20" s="371"/>
      <c r="FS20" s="371"/>
      <c r="FT20" s="370"/>
      <c r="FU20" s="370"/>
      <c r="FV20" s="371"/>
      <c r="FW20" s="371"/>
      <c r="FX20" s="370"/>
      <c r="FY20" s="370"/>
      <c r="FZ20" s="371"/>
      <c r="GA20" s="371"/>
      <c r="GB20" s="370"/>
      <c r="GC20" s="370"/>
      <c r="GD20" s="371"/>
      <c r="GE20" s="371"/>
      <c r="GF20" s="370"/>
      <c r="GG20" s="370"/>
      <c r="GH20" s="371"/>
      <c r="GI20" s="371"/>
      <c r="GJ20" s="370"/>
      <c r="GK20" s="370"/>
      <c r="GL20" s="371"/>
      <c r="GM20" s="371"/>
      <c r="GN20" s="370"/>
      <c r="GO20" s="370"/>
      <c r="GP20" s="371"/>
      <c r="GQ20" s="371"/>
      <c r="GR20" s="370"/>
      <c r="GS20" s="370"/>
    </row>
    <row r="21">
      <c r="A21" s="367" t="s">
        <v>193</v>
      </c>
      <c r="B21" s="371"/>
      <c r="C21" s="371"/>
      <c r="D21" s="370"/>
      <c r="E21" s="370"/>
      <c r="F21" s="371"/>
      <c r="G21" s="371"/>
      <c r="H21" s="370"/>
      <c r="I21" s="370"/>
      <c r="J21" s="371"/>
      <c r="K21" s="371"/>
      <c r="L21" s="370"/>
      <c r="M21" s="370"/>
      <c r="N21" s="371"/>
      <c r="O21" s="371"/>
      <c r="P21" s="370"/>
      <c r="Q21" s="370"/>
      <c r="R21" s="371"/>
      <c r="S21" s="371"/>
      <c r="T21" s="370"/>
      <c r="U21" s="370"/>
      <c r="V21" s="371"/>
      <c r="W21" s="371"/>
      <c r="X21" s="370"/>
      <c r="Y21" s="370"/>
      <c r="Z21" s="371"/>
      <c r="AA21" s="371"/>
      <c r="AB21" s="370"/>
      <c r="AC21" s="370"/>
      <c r="AD21" s="371"/>
      <c r="AE21" s="371"/>
      <c r="AF21" s="370"/>
      <c r="AG21" s="370"/>
      <c r="AH21" s="371"/>
      <c r="AI21" s="371"/>
      <c r="AJ21" s="370"/>
      <c r="AK21" s="370"/>
      <c r="AL21" s="371"/>
      <c r="AM21" s="371"/>
      <c r="AN21" s="370"/>
      <c r="AO21" s="370"/>
      <c r="AP21" s="371"/>
      <c r="AQ21" s="371"/>
      <c r="AR21" s="370"/>
      <c r="AS21" s="370"/>
      <c r="AT21" s="371"/>
      <c r="AU21" s="371"/>
      <c r="AV21" s="370"/>
      <c r="AW21" s="370"/>
      <c r="AX21" s="371"/>
      <c r="AY21" s="371"/>
      <c r="AZ21" s="370"/>
      <c r="BA21" s="370"/>
      <c r="BB21" s="371"/>
      <c r="BC21" s="371"/>
      <c r="BD21" s="370"/>
      <c r="BE21" s="370"/>
      <c r="BF21" s="371"/>
      <c r="BG21" s="371"/>
      <c r="BH21" s="370"/>
      <c r="BI21" s="370"/>
      <c r="BJ21" s="371"/>
      <c r="BK21" s="371"/>
      <c r="BL21" s="370"/>
      <c r="BM21" s="370"/>
      <c r="BN21" s="371"/>
      <c r="BO21" s="371"/>
      <c r="BP21" s="370"/>
      <c r="BQ21" s="370"/>
      <c r="BR21" s="371"/>
      <c r="BS21" s="371"/>
      <c r="BT21" s="370"/>
      <c r="BU21" s="370"/>
      <c r="BV21" s="371"/>
      <c r="BW21" s="371"/>
      <c r="BX21" s="370"/>
      <c r="BY21" s="370"/>
      <c r="BZ21" s="371"/>
      <c r="CA21" s="371"/>
      <c r="CB21" s="370"/>
      <c r="CC21" s="370"/>
      <c r="CD21" s="371"/>
      <c r="CE21" s="371"/>
      <c r="CF21" s="370"/>
      <c r="CG21" s="370"/>
      <c r="CH21" s="371"/>
      <c r="CI21" s="371"/>
      <c r="CJ21" s="370"/>
      <c r="CK21" s="370"/>
      <c r="CL21" s="371"/>
      <c r="CM21" s="371"/>
      <c r="CN21" s="370"/>
      <c r="CO21" s="370"/>
      <c r="CP21" s="371"/>
      <c r="CQ21" s="371"/>
      <c r="CR21" s="370"/>
      <c r="CS21" s="370"/>
      <c r="CT21" s="371"/>
      <c r="CU21" s="371"/>
      <c r="CV21" s="370"/>
      <c r="CW21" s="370"/>
      <c r="CX21" s="371"/>
      <c r="CY21" s="371"/>
      <c r="CZ21" s="370"/>
      <c r="DA21" s="370"/>
      <c r="DB21" s="371"/>
      <c r="DC21" s="371"/>
      <c r="DD21" s="370"/>
      <c r="DE21" s="370"/>
      <c r="DF21" s="371"/>
      <c r="DG21" s="371"/>
      <c r="DH21" s="370"/>
      <c r="DI21" s="370"/>
      <c r="DJ21" s="371"/>
      <c r="DK21" s="371"/>
      <c r="DL21" s="370"/>
      <c r="DM21" s="370"/>
      <c r="DN21" s="371"/>
      <c r="DO21" s="371"/>
      <c r="DP21" s="370"/>
      <c r="DQ21" s="370"/>
      <c r="DR21" s="371"/>
      <c r="DS21" s="371"/>
      <c r="DT21" s="370"/>
      <c r="DU21" s="370"/>
      <c r="DV21" s="371"/>
      <c r="DW21" s="371"/>
      <c r="DX21" s="370"/>
      <c r="DY21" s="370"/>
      <c r="DZ21" s="371"/>
      <c r="EA21" s="371"/>
      <c r="EB21" s="370"/>
      <c r="EC21" s="370"/>
      <c r="ED21" s="371"/>
      <c r="EE21" s="371"/>
      <c r="EF21" s="370"/>
      <c r="EG21" s="370"/>
      <c r="EH21" s="371"/>
      <c r="EI21" s="371"/>
      <c r="EJ21" s="370"/>
      <c r="EK21" s="370"/>
      <c r="EL21" s="371"/>
      <c r="EM21" s="371"/>
      <c r="EN21" s="370"/>
      <c r="EO21" s="370"/>
      <c r="EP21" s="371"/>
      <c r="EQ21" s="371"/>
      <c r="ER21" s="370"/>
      <c r="ES21" s="370"/>
      <c r="ET21" s="371"/>
      <c r="EU21" s="371"/>
      <c r="EV21" s="370"/>
      <c r="EW21" s="370"/>
      <c r="EX21" s="371"/>
      <c r="EY21" s="371"/>
      <c r="EZ21" s="370"/>
      <c r="FA21" s="370"/>
      <c r="FB21" s="371"/>
      <c r="FC21" s="371"/>
      <c r="FD21" s="370"/>
      <c r="FE21" s="370"/>
      <c r="FF21" s="371"/>
      <c r="FG21" s="371"/>
      <c r="FH21" s="370"/>
      <c r="FI21" s="370"/>
      <c r="FJ21" s="371"/>
      <c r="FK21" s="371"/>
      <c r="FL21" s="370"/>
      <c r="FM21" s="370"/>
      <c r="FN21" s="371"/>
      <c r="FO21" s="371"/>
      <c r="FP21" s="370"/>
      <c r="FQ21" s="370"/>
      <c r="FR21" s="371"/>
      <c r="FS21" s="371"/>
      <c r="FT21" s="370"/>
      <c r="FU21" s="370"/>
      <c r="FV21" s="371"/>
      <c r="FW21" s="371"/>
      <c r="FX21" s="370"/>
      <c r="FY21" s="370"/>
      <c r="FZ21" s="371"/>
      <c r="GA21" s="371"/>
      <c r="GB21" s="370"/>
      <c r="GC21" s="370"/>
      <c r="GD21" s="371"/>
      <c r="GE21" s="371"/>
      <c r="GF21" s="370"/>
      <c r="GG21" s="370"/>
      <c r="GH21" s="371"/>
      <c r="GI21" s="371"/>
      <c r="GJ21" s="370"/>
      <c r="GK21" s="370"/>
      <c r="GL21" s="371"/>
      <c r="GM21" s="371"/>
      <c r="GN21" s="370"/>
      <c r="GO21" s="370"/>
      <c r="GP21" s="371"/>
      <c r="GQ21" s="371"/>
      <c r="GR21" s="370"/>
      <c r="GS21" s="370"/>
    </row>
    <row r="22">
      <c r="A22" s="367" t="s">
        <v>194</v>
      </c>
      <c r="B22" s="371"/>
      <c r="C22" s="371"/>
      <c r="D22" s="370"/>
      <c r="E22" s="370"/>
      <c r="F22" s="371"/>
      <c r="G22" s="371"/>
      <c r="H22" s="370"/>
      <c r="I22" s="370"/>
      <c r="J22" s="371"/>
      <c r="K22" s="371"/>
      <c r="L22" s="370"/>
      <c r="M22" s="370"/>
      <c r="N22" s="371"/>
      <c r="O22" s="371"/>
      <c r="P22" s="370"/>
      <c r="Q22" s="370"/>
      <c r="R22" s="371"/>
      <c r="S22" s="371"/>
      <c r="T22" s="370"/>
      <c r="U22" s="370"/>
      <c r="V22" s="371"/>
      <c r="W22" s="371"/>
      <c r="X22" s="370"/>
      <c r="Y22" s="370"/>
      <c r="Z22" s="371"/>
      <c r="AA22" s="371"/>
      <c r="AB22" s="370"/>
      <c r="AC22" s="370"/>
      <c r="AD22" s="371"/>
      <c r="AE22" s="371"/>
      <c r="AF22" s="370"/>
      <c r="AG22" s="370"/>
      <c r="AH22" s="371"/>
      <c r="AI22" s="371"/>
      <c r="AJ22" s="370"/>
      <c r="AK22" s="370"/>
      <c r="AL22" s="371"/>
      <c r="AM22" s="371"/>
      <c r="AN22" s="370"/>
      <c r="AO22" s="370"/>
      <c r="AP22" s="371"/>
      <c r="AQ22" s="371"/>
      <c r="AR22" s="370"/>
      <c r="AS22" s="370"/>
      <c r="AT22" s="371"/>
      <c r="AU22" s="371"/>
      <c r="AV22" s="370"/>
      <c r="AW22" s="370"/>
      <c r="AX22" s="371"/>
      <c r="AY22" s="371"/>
      <c r="AZ22" s="370"/>
      <c r="BA22" s="370"/>
      <c r="BB22" s="371"/>
      <c r="BC22" s="371"/>
      <c r="BD22" s="370"/>
      <c r="BE22" s="370"/>
      <c r="BF22" s="371"/>
      <c r="BG22" s="371"/>
      <c r="BH22" s="370"/>
      <c r="BI22" s="370"/>
      <c r="BJ22" s="371"/>
      <c r="BK22" s="371"/>
      <c r="BL22" s="370"/>
      <c r="BM22" s="370"/>
      <c r="BN22" s="371"/>
      <c r="BO22" s="371"/>
      <c r="BP22" s="370"/>
      <c r="BQ22" s="370"/>
      <c r="BR22" s="371"/>
      <c r="BS22" s="371"/>
      <c r="BT22" s="370"/>
      <c r="BU22" s="370"/>
      <c r="BV22" s="371"/>
      <c r="BW22" s="371"/>
      <c r="BX22" s="370"/>
      <c r="BY22" s="370"/>
      <c r="BZ22" s="371"/>
      <c r="CA22" s="371"/>
      <c r="CB22" s="370"/>
      <c r="CC22" s="370"/>
      <c r="CD22" s="371"/>
      <c r="CE22" s="371"/>
      <c r="CF22" s="370"/>
      <c r="CG22" s="370"/>
      <c r="CH22" s="371"/>
      <c r="CI22" s="371"/>
      <c r="CJ22" s="370"/>
      <c r="CK22" s="370"/>
      <c r="CL22" s="371"/>
      <c r="CM22" s="371"/>
      <c r="CN22" s="370"/>
      <c r="CO22" s="370"/>
      <c r="CP22" s="371"/>
      <c r="CQ22" s="371"/>
      <c r="CR22" s="370"/>
      <c r="CS22" s="370"/>
      <c r="CT22" s="371"/>
      <c r="CU22" s="371"/>
      <c r="CV22" s="370"/>
      <c r="CW22" s="370"/>
      <c r="CX22" s="371"/>
      <c r="CY22" s="371"/>
      <c r="CZ22" s="370"/>
      <c r="DA22" s="370"/>
      <c r="DB22" s="371"/>
      <c r="DC22" s="371"/>
      <c r="DD22" s="370"/>
      <c r="DE22" s="370"/>
      <c r="DF22" s="371"/>
      <c r="DG22" s="371"/>
      <c r="DH22" s="370"/>
      <c r="DI22" s="370"/>
      <c r="DJ22" s="371"/>
      <c r="DK22" s="371"/>
      <c r="DL22" s="370"/>
      <c r="DM22" s="370"/>
      <c r="DN22" s="371"/>
      <c r="DO22" s="371"/>
      <c r="DP22" s="370"/>
      <c r="DQ22" s="370"/>
      <c r="DR22" s="371"/>
      <c r="DS22" s="371"/>
      <c r="DT22" s="370"/>
      <c r="DU22" s="370"/>
      <c r="DV22" s="371"/>
      <c r="DW22" s="371"/>
      <c r="DX22" s="370"/>
      <c r="DY22" s="370"/>
      <c r="DZ22" s="371"/>
      <c r="EA22" s="371"/>
      <c r="EB22" s="370"/>
      <c r="EC22" s="370"/>
      <c r="ED22" s="371"/>
      <c r="EE22" s="371"/>
      <c r="EF22" s="370"/>
      <c r="EG22" s="370"/>
      <c r="EH22" s="371"/>
      <c r="EI22" s="371"/>
      <c r="EJ22" s="370"/>
      <c r="EK22" s="370"/>
      <c r="EL22" s="371"/>
      <c r="EM22" s="371"/>
      <c r="EN22" s="370"/>
      <c r="EO22" s="370"/>
      <c r="EP22" s="371"/>
      <c r="EQ22" s="371"/>
      <c r="ER22" s="370"/>
      <c r="ES22" s="370"/>
      <c r="ET22" s="371"/>
      <c r="EU22" s="371"/>
      <c r="EV22" s="370"/>
      <c r="EW22" s="370"/>
      <c r="EX22" s="371"/>
      <c r="EY22" s="371"/>
      <c r="EZ22" s="370"/>
      <c r="FA22" s="370"/>
      <c r="FB22" s="371"/>
      <c r="FC22" s="371"/>
      <c r="FD22" s="370"/>
      <c r="FE22" s="370"/>
      <c r="FF22" s="371"/>
      <c r="FG22" s="371"/>
      <c r="FH22" s="370"/>
      <c r="FI22" s="370"/>
      <c r="FJ22" s="371"/>
      <c r="FK22" s="371"/>
      <c r="FL22" s="370"/>
      <c r="FM22" s="370"/>
      <c r="FN22" s="371"/>
      <c r="FO22" s="371"/>
      <c r="FP22" s="370"/>
      <c r="FQ22" s="370"/>
      <c r="FR22" s="371"/>
      <c r="FS22" s="371"/>
      <c r="FT22" s="370"/>
      <c r="FU22" s="370"/>
      <c r="FV22" s="371"/>
      <c r="FW22" s="371"/>
      <c r="FX22" s="370"/>
      <c r="FY22" s="370"/>
      <c r="FZ22" s="371"/>
      <c r="GA22" s="371"/>
      <c r="GB22" s="370"/>
      <c r="GC22" s="370"/>
      <c r="GD22" s="371"/>
      <c r="GE22" s="371"/>
      <c r="GF22" s="370"/>
      <c r="GG22" s="370"/>
      <c r="GH22" s="371"/>
      <c r="GI22" s="371"/>
      <c r="GJ22" s="370"/>
      <c r="GK22" s="370"/>
      <c r="GL22" s="371"/>
      <c r="GM22" s="371"/>
      <c r="GN22" s="370"/>
      <c r="GO22" s="370"/>
      <c r="GP22" s="371"/>
      <c r="GQ22" s="371"/>
      <c r="GR22" s="370"/>
      <c r="GS22" s="370"/>
    </row>
    <row r="23">
      <c r="A23" s="367" t="s">
        <v>195</v>
      </c>
      <c r="B23" s="371"/>
      <c r="C23" s="371"/>
      <c r="D23" s="370"/>
      <c r="E23" s="370"/>
      <c r="F23" s="371"/>
      <c r="G23" s="371"/>
      <c r="H23" s="370"/>
      <c r="I23" s="370"/>
      <c r="J23" s="371"/>
      <c r="K23" s="371"/>
      <c r="L23" s="370"/>
      <c r="M23" s="370"/>
      <c r="N23" s="371"/>
      <c r="O23" s="371"/>
      <c r="P23" s="370"/>
      <c r="Q23" s="370"/>
      <c r="R23" s="371"/>
      <c r="S23" s="371"/>
      <c r="T23" s="370"/>
      <c r="U23" s="370"/>
      <c r="V23" s="371"/>
      <c r="W23" s="371"/>
      <c r="X23" s="370"/>
      <c r="Y23" s="370"/>
      <c r="Z23" s="371"/>
      <c r="AA23" s="371"/>
      <c r="AB23" s="370"/>
      <c r="AC23" s="370"/>
      <c r="AD23" s="371"/>
      <c r="AE23" s="371"/>
      <c r="AF23" s="370"/>
      <c r="AG23" s="370"/>
      <c r="AH23" s="371"/>
      <c r="AI23" s="371"/>
      <c r="AJ23" s="370"/>
      <c r="AK23" s="370"/>
      <c r="AL23" s="371"/>
      <c r="AM23" s="371"/>
      <c r="AN23" s="370"/>
      <c r="AO23" s="370"/>
      <c r="AP23" s="371"/>
      <c r="AQ23" s="371"/>
      <c r="AR23" s="370"/>
      <c r="AS23" s="370"/>
      <c r="AT23" s="371"/>
      <c r="AU23" s="371"/>
      <c r="AV23" s="370"/>
      <c r="AW23" s="370"/>
      <c r="AX23" s="371"/>
      <c r="AY23" s="371"/>
      <c r="AZ23" s="370"/>
      <c r="BA23" s="370"/>
      <c r="BB23" s="371"/>
      <c r="BC23" s="371"/>
      <c r="BD23" s="370"/>
      <c r="BE23" s="370"/>
      <c r="BF23" s="371"/>
      <c r="BG23" s="371"/>
      <c r="BH23" s="370"/>
      <c r="BI23" s="370"/>
      <c r="BJ23" s="371"/>
      <c r="BK23" s="371"/>
      <c r="BL23" s="370"/>
      <c r="BM23" s="370"/>
      <c r="BN23" s="371"/>
      <c r="BO23" s="371"/>
      <c r="BP23" s="370"/>
      <c r="BQ23" s="370"/>
      <c r="BR23" s="371"/>
      <c r="BS23" s="371"/>
      <c r="BT23" s="370"/>
      <c r="BU23" s="370"/>
      <c r="BV23" s="371"/>
      <c r="BW23" s="371"/>
      <c r="BX23" s="370"/>
      <c r="BY23" s="370"/>
      <c r="BZ23" s="371"/>
      <c r="CA23" s="371"/>
      <c r="CB23" s="370"/>
      <c r="CC23" s="370"/>
      <c r="CD23" s="371"/>
      <c r="CE23" s="371"/>
      <c r="CF23" s="370"/>
      <c r="CG23" s="370"/>
      <c r="CH23" s="371"/>
      <c r="CI23" s="371"/>
      <c r="CJ23" s="370"/>
      <c r="CK23" s="370"/>
      <c r="CL23" s="371"/>
      <c r="CM23" s="371"/>
      <c r="CN23" s="370"/>
      <c r="CO23" s="370"/>
      <c r="CP23" s="371"/>
      <c r="CQ23" s="371"/>
      <c r="CR23" s="370"/>
      <c r="CS23" s="370"/>
      <c r="CT23" s="371"/>
      <c r="CU23" s="371"/>
      <c r="CV23" s="370"/>
      <c r="CW23" s="370"/>
      <c r="CX23" s="371"/>
      <c r="CY23" s="371"/>
      <c r="CZ23" s="370"/>
      <c r="DA23" s="370"/>
      <c r="DB23" s="371"/>
      <c r="DC23" s="371"/>
      <c r="DD23" s="370"/>
      <c r="DE23" s="370"/>
      <c r="DF23" s="371"/>
      <c r="DG23" s="371"/>
      <c r="DH23" s="370"/>
      <c r="DI23" s="370"/>
      <c r="DJ23" s="371"/>
      <c r="DK23" s="371"/>
      <c r="DL23" s="370"/>
      <c r="DM23" s="370"/>
      <c r="DN23" s="371"/>
      <c r="DO23" s="371"/>
      <c r="DP23" s="370"/>
      <c r="DQ23" s="370"/>
      <c r="DR23" s="371"/>
      <c r="DS23" s="371"/>
      <c r="DT23" s="370"/>
      <c r="DU23" s="370"/>
      <c r="DV23" s="371"/>
      <c r="DW23" s="371"/>
      <c r="DX23" s="370"/>
      <c r="DY23" s="370"/>
      <c r="DZ23" s="371"/>
      <c r="EA23" s="371"/>
      <c r="EB23" s="370"/>
      <c r="EC23" s="370"/>
      <c r="ED23" s="371"/>
      <c r="EE23" s="371"/>
      <c r="EF23" s="370"/>
      <c r="EG23" s="370"/>
      <c r="EH23" s="371"/>
      <c r="EI23" s="371"/>
      <c r="EJ23" s="370"/>
      <c r="EK23" s="370"/>
      <c r="EL23" s="371"/>
      <c r="EM23" s="371"/>
      <c r="EN23" s="370"/>
      <c r="EO23" s="370"/>
      <c r="EP23" s="371"/>
      <c r="EQ23" s="371"/>
      <c r="ER23" s="370"/>
      <c r="ES23" s="370"/>
      <c r="ET23" s="371"/>
      <c r="EU23" s="371"/>
      <c r="EV23" s="370"/>
      <c r="EW23" s="370"/>
      <c r="EX23" s="371"/>
      <c r="EY23" s="371"/>
      <c r="EZ23" s="370"/>
      <c r="FA23" s="370"/>
      <c r="FB23" s="371"/>
      <c r="FC23" s="371"/>
      <c r="FD23" s="370"/>
      <c r="FE23" s="370"/>
      <c r="FF23" s="371"/>
      <c r="FG23" s="371"/>
      <c r="FH23" s="370"/>
      <c r="FI23" s="370"/>
      <c r="FJ23" s="371"/>
      <c r="FK23" s="371"/>
      <c r="FL23" s="370"/>
      <c r="FM23" s="370"/>
      <c r="FN23" s="371"/>
      <c r="FO23" s="371"/>
      <c r="FP23" s="370"/>
      <c r="FQ23" s="370"/>
      <c r="FR23" s="371"/>
      <c r="FS23" s="371"/>
      <c r="FT23" s="370"/>
      <c r="FU23" s="370"/>
      <c r="FV23" s="371"/>
      <c r="FW23" s="371"/>
      <c r="FX23" s="370"/>
      <c r="FY23" s="370"/>
      <c r="FZ23" s="371"/>
      <c r="GA23" s="371"/>
      <c r="GB23" s="370"/>
      <c r="GC23" s="370"/>
      <c r="GD23" s="371"/>
      <c r="GE23" s="371"/>
      <c r="GF23" s="370"/>
      <c r="GG23" s="370"/>
      <c r="GH23" s="371"/>
      <c r="GI23" s="371"/>
      <c r="GJ23" s="370"/>
      <c r="GK23" s="370"/>
      <c r="GL23" s="371"/>
      <c r="GM23" s="371"/>
      <c r="GN23" s="370"/>
      <c r="GO23" s="370"/>
      <c r="GP23" s="371"/>
      <c r="GQ23" s="371"/>
      <c r="GR23" s="370"/>
      <c r="GS23" s="370"/>
    </row>
    <row r="24">
      <c r="A24" s="377"/>
      <c r="B24" s="378"/>
      <c r="C24" s="378"/>
      <c r="D24" s="378"/>
      <c r="E24" s="378"/>
      <c r="F24" s="378"/>
      <c r="G24" s="378"/>
      <c r="H24" s="378"/>
      <c r="I24" s="378"/>
      <c r="J24" s="378"/>
      <c r="K24" s="378"/>
      <c r="L24" s="378"/>
      <c r="M24" s="378"/>
      <c r="N24" s="378"/>
      <c r="O24" s="378"/>
      <c r="P24" s="378"/>
      <c r="Q24" s="378"/>
      <c r="R24" s="378"/>
      <c r="S24" s="378"/>
      <c r="T24" s="378"/>
      <c r="U24" s="378"/>
      <c r="V24" s="378"/>
      <c r="W24" s="378"/>
      <c r="X24" s="378"/>
      <c r="Y24" s="378"/>
      <c r="Z24" s="378"/>
      <c r="AA24" s="378"/>
      <c r="AB24" s="378"/>
      <c r="AC24" s="378"/>
      <c r="AD24" s="378"/>
      <c r="AE24" s="378"/>
      <c r="AF24" s="378"/>
      <c r="AG24" s="378"/>
      <c r="AH24" s="378"/>
      <c r="AI24" s="378"/>
      <c r="AJ24" s="378"/>
      <c r="AK24" s="378"/>
      <c r="AL24" s="378"/>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8"/>
      <c r="BK24" s="378"/>
      <c r="BL24" s="378"/>
      <c r="BM24" s="378"/>
      <c r="BN24" s="378"/>
      <c r="BO24" s="378"/>
      <c r="BP24" s="378"/>
      <c r="BQ24" s="378"/>
      <c r="BR24" s="378"/>
      <c r="BS24" s="378"/>
      <c r="BT24" s="378"/>
      <c r="BU24" s="378"/>
      <c r="BV24" s="378"/>
      <c r="BW24" s="378"/>
      <c r="BX24" s="378"/>
      <c r="BY24" s="378"/>
      <c r="BZ24" s="378"/>
      <c r="CA24" s="378"/>
      <c r="CB24" s="378"/>
      <c r="CC24" s="378"/>
      <c r="CD24" s="378"/>
      <c r="CE24" s="378"/>
      <c r="CF24" s="378"/>
      <c r="CG24" s="378"/>
      <c r="CH24" s="378"/>
      <c r="CI24" s="378"/>
      <c r="CJ24" s="378"/>
      <c r="CK24" s="378"/>
      <c r="CL24" s="378"/>
      <c r="CM24" s="378"/>
      <c r="CN24" s="378"/>
      <c r="CO24" s="378"/>
      <c r="CP24" s="378"/>
      <c r="CQ24" s="378"/>
      <c r="CR24" s="378"/>
      <c r="CS24" s="378"/>
      <c r="CT24" s="378"/>
      <c r="CU24" s="378"/>
      <c r="CV24" s="378"/>
      <c r="CW24" s="378"/>
      <c r="CX24" s="378"/>
      <c r="CY24" s="378"/>
      <c r="CZ24" s="378"/>
      <c r="DA24" s="378"/>
      <c r="DB24" s="378"/>
      <c r="DC24" s="378"/>
      <c r="DD24" s="378"/>
      <c r="DE24" s="378"/>
      <c r="DF24" s="378"/>
      <c r="DG24" s="378"/>
      <c r="DH24" s="378"/>
      <c r="DI24" s="378"/>
      <c r="DJ24" s="378"/>
      <c r="DK24" s="378"/>
      <c r="DL24" s="378"/>
      <c r="DM24" s="378"/>
      <c r="DN24" s="378"/>
      <c r="DO24" s="378"/>
      <c r="DP24" s="378"/>
      <c r="DQ24" s="378"/>
      <c r="DR24" s="378"/>
      <c r="DS24" s="378"/>
      <c r="DT24" s="378"/>
      <c r="DU24" s="378"/>
      <c r="DV24" s="378"/>
      <c r="DW24" s="378"/>
      <c r="DX24" s="378"/>
      <c r="DY24" s="378"/>
      <c r="DZ24" s="378"/>
      <c r="EA24" s="378"/>
      <c r="EB24" s="378"/>
      <c r="EC24" s="378"/>
      <c r="ED24" s="378"/>
      <c r="EE24" s="378"/>
      <c r="EF24" s="378"/>
      <c r="EG24" s="378"/>
      <c r="EH24" s="378"/>
      <c r="EI24" s="378"/>
      <c r="EJ24" s="378"/>
      <c r="EK24" s="378"/>
      <c r="EL24" s="378"/>
      <c r="EM24" s="378"/>
      <c r="EN24" s="378"/>
      <c r="EO24" s="378"/>
      <c r="EP24" s="378"/>
      <c r="EQ24" s="378"/>
      <c r="ER24" s="378"/>
      <c r="ES24" s="378"/>
      <c r="ET24" s="378"/>
      <c r="EU24" s="378"/>
      <c r="EV24" s="378"/>
      <c r="EW24" s="378"/>
      <c r="EX24" s="378"/>
      <c r="EY24" s="378"/>
      <c r="EZ24" s="378"/>
      <c r="FA24" s="378"/>
      <c r="FB24" s="378"/>
      <c r="FC24" s="378"/>
      <c r="FD24" s="378"/>
      <c r="FE24" s="378"/>
      <c r="FF24" s="378"/>
      <c r="FG24" s="378"/>
      <c r="FH24" s="378"/>
      <c r="FI24" s="378"/>
      <c r="FJ24" s="378"/>
      <c r="FK24" s="378"/>
      <c r="FL24" s="378"/>
      <c r="FM24" s="378"/>
      <c r="FN24" s="378"/>
      <c r="FO24" s="378"/>
      <c r="FP24" s="378"/>
      <c r="FQ24" s="378"/>
      <c r="FR24" s="378"/>
      <c r="FS24" s="378"/>
      <c r="FT24" s="378"/>
      <c r="FU24" s="378"/>
      <c r="FV24" s="378"/>
      <c r="FW24" s="378"/>
      <c r="FX24" s="378"/>
      <c r="FY24" s="378"/>
      <c r="FZ24" s="378"/>
      <c r="GA24" s="378"/>
      <c r="GB24" s="378"/>
      <c r="GC24" s="378"/>
      <c r="GD24" s="378"/>
      <c r="GE24" s="378"/>
      <c r="GF24" s="378"/>
      <c r="GG24" s="378"/>
      <c r="GH24" s="378"/>
      <c r="GI24" s="378"/>
      <c r="GJ24" s="378"/>
      <c r="GK24" s="378"/>
      <c r="GL24" s="378"/>
      <c r="GM24" s="378"/>
      <c r="GN24" s="378"/>
      <c r="GO24" s="378"/>
      <c r="GP24" s="378"/>
      <c r="GQ24" s="378"/>
      <c r="GR24" s="378"/>
      <c r="GS24" s="378"/>
    </row>
  </sheetData>
  <mergeCells count="100">
    <mergeCell ref="CV1:CW1"/>
    <mergeCell ref="CX1:CY1"/>
    <mergeCell ref="CZ1:DA1"/>
    <mergeCell ref="DB1:DC1"/>
    <mergeCell ref="DD1:DE1"/>
    <mergeCell ref="DF1:DG1"/>
    <mergeCell ref="DH1:DI1"/>
    <mergeCell ref="DJ1:DK1"/>
    <mergeCell ref="DL1:DM1"/>
    <mergeCell ref="DN1:DO1"/>
    <mergeCell ref="DP1:DQ1"/>
    <mergeCell ref="DR1:DS1"/>
    <mergeCell ref="DT1:DU1"/>
    <mergeCell ref="DV1:DW1"/>
    <mergeCell ref="DX1:DY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FN1:FO1"/>
    <mergeCell ref="FP1:FQ1"/>
    <mergeCell ref="FR1:FS1"/>
    <mergeCell ref="FT1:FU1"/>
    <mergeCell ref="FV1:FW1"/>
    <mergeCell ref="FX1:FY1"/>
    <mergeCell ref="FZ1:GA1"/>
    <mergeCell ref="GP1:GQ1"/>
    <mergeCell ref="GR1:GS1"/>
    <mergeCell ref="GB1:GC1"/>
    <mergeCell ref="GD1:GE1"/>
    <mergeCell ref="GF1:GG1"/>
    <mergeCell ref="GH1:GI1"/>
    <mergeCell ref="GJ1:GK1"/>
    <mergeCell ref="GL1:GM1"/>
    <mergeCell ref="GN1:GO1"/>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 ref="CT1:CU1"/>
  </mergeCells>
  <conditionalFormatting sqref="B4:C6 F4:G6 J4:K6 N4:O6 R4:S6 V4:W6 Z4:AA6 AD4:AE6 AH4:AI6 AL4:AM6 AP4:AQ6 AT4:AU6 AX4:AY6 BB4:BC6 BF4:BG6 BJ4:BK6 BN4:BO6 BR4:BS6 BV4:BW6 BZ4:CA6 CD4:CE6 CH4:CI6 CL4:CM6 CP4:CQ6 CT4:CU6 CX4:CY6 DB4:DC6 DF4:DG6 DJ4:DK6 DN4:DO6 DR4:DS6 DV4:DW6 DZ4:EA6 ED4:EE6 EH4:EI6 EL4:EM6 EP4:EQ6 ET4:EU6 EX4:EY6 FB4:FC6 FF4:FG6 FJ4:FK6 FN4:FO6 FR4:FS6 FV4:FW6 FZ4:GA6 GD4:GE6 GH4:GI6 GL4:GM6 GP4:GQ6 B8:C10 F8:G10 J8:K10 N8:O10 R8:S10 V8:W10 Z8:AA10 AD8:AE10 AH8:AI10 AL8:AM10 AP8:AQ10 AT8:AU10 AX8:AY10 BB8:BC10 BF8:BG10 BJ8:BK10 BN8:BO10 BR8:BS10 BV8:BW10 BZ8:CA10 CD8:CE10 CH8:CI10 CL8:CM10 CP8:CQ10 CT8:CU10 CX8:CY10 DB8:DC10 DF8:DG10 DJ8:DK10 DN8:DO10 DR8:DS10 DV8:DW10 DZ8:EA10 ED8:EE10 EH8:EI10 EL8:EM10 EP8:EQ10 ET8:EU10 EX8:EY10 FB8:FC10 FF8:FG10 FJ8:FK10 FN8:FO10 FR8:FS10 FV8:FW10 FZ8:GA10 GD8:GE10 GH8:GI10 GL8:GM10 GP8:GQ10 B12:C14 F12:G14 J12:K14 N12:O14 R12:S14 V12:W14 Z12:AA14 AD12:AE14 AH12:AI14 AL12:AM14 AP12:AQ14 AT12:AU14 AX12:AY14 BB12:BC14 BF12:BG14 BJ12:BK14 BN12:BO14 BR12:BS14 BV12:BW14 BZ12:CA14 CD12:CE14 CH12:CI14 CL12:CM14 CP12:CQ14 CT12:CU14 CX12:CY14 DB12:DC14 DF12:DG14 DJ12:DK14 DN12:DO14 DR12:DS14 DV12:DW14 DZ12:EA14 ED12:EE14 EH12:EI14 EL12:EM14 EP12:EQ14 ET12:EU14 EX12:EY14 FB12:FC14 FF12:FG14 FJ12:FK14 FN12:FO14 FR12:FS14 FV12:FW14 FZ12:GA14 GD12:GE14 GH12:GI14 GL12:GM14 GP12:GQ14 B16:C18 F16:G18 J16:K18 N16:O18 R16:S18 V16:W18 Z16:AA18 AD16:AE18 AH16:AI18 AL16:AM18 AP16:AQ18 AT16:AU18 AX16:AY18 BB16:BC18 BF16:BG18 BJ16:BK18 BN16:BO18 BR16:BS18 BV16:BW18 BZ16:CA18 CD16:CE18 CH16:CI18 CL16:CM18 CP16:CQ18 CT16:CU18 CX16:CY18 DB16:DC18 DF16:DG18 DJ16:DK18 DN16:DO18 DR16:DS18 DV16:DW18 DZ16:EA18 ED16:EE18 EH16:EI18 EL16:EM18 EP16:EQ18 ET16:EU18 EX16:EY18 FB16:FC18 FF16:FG18 FJ16:FK18 FN16:FO18 FR16:FS18 FV16:FW18 FZ16:GA18 GD16:GE18 GH16:GI18 GL16:GM18 GP16:GQ18 B20:C23 F20:G23 J20:K23 N20:O23 R20:S23 V20:W23 Z20:AA23 AD20:AE23 AH20:AI23 AL20:AM23 AP20:AQ23 AT20:AU23 AX20:AY23 BB20:BC23 BF20:BG23 BJ20:BK23 BN20:BO23 BR20:BS23 BV20:BW23 BZ20:CA23 CD20:CE23 CH20:CI23 CL20:CM23 CP20:CQ23 CT20:CU23 CX20:CY23 DB20:DC23 DF20:DG23 DJ20:DK23 DN20:DO23 DR20:DS23 DV20:DW23 DZ20:EA23 ED20:EE23 EH20:EI23 EL20:EM23 EP20:EQ23 ET20:EU23 EX20:EY23 FB20:FC23 FF20:FG23 FJ20:FK23 FN20:FO23 FR20:FS23 FV20:FW23 FZ20:GA23 GD20:GE23 GH20:GI23 GL20:GM23 GP20:GQ23">
    <cfRule type="expression" dxfId="20" priority="1">
      <formula>ifcolor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0.75"/>
    <col customWidth="1" min="2" max="201" width="3.88"/>
  </cols>
  <sheetData>
    <row r="1">
      <c r="A1" s="379" t="s">
        <v>196</v>
      </c>
      <c r="B1" s="359"/>
      <c r="D1" s="360"/>
      <c r="F1" s="359"/>
      <c r="H1" s="358"/>
      <c r="J1" s="359"/>
      <c r="L1" s="358"/>
      <c r="N1" s="359"/>
      <c r="P1" s="360"/>
      <c r="R1" s="361"/>
      <c r="T1" s="360"/>
      <c r="V1" s="359"/>
      <c r="X1" s="358"/>
      <c r="Z1" s="359"/>
      <c r="AB1" s="358"/>
      <c r="AD1" s="359"/>
      <c r="AF1" s="360"/>
      <c r="AH1" s="361"/>
      <c r="AJ1" s="360"/>
      <c r="AL1" s="359"/>
      <c r="AN1" s="358"/>
      <c r="AP1" s="359"/>
      <c r="AR1" s="358"/>
      <c r="AT1" s="359"/>
      <c r="AV1" s="360"/>
      <c r="AX1" s="361"/>
      <c r="AZ1" s="360"/>
      <c r="BB1" s="359"/>
      <c r="BD1" s="358"/>
      <c r="BF1" s="359"/>
      <c r="BH1" s="358"/>
      <c r="BJ1" s="359"/>
      <c r="BL1" s="360"/>
      <c r="BN1" s="361"/>
      <c r="BP1" s="360"/>
      <c r="BR1" s="359"/>
      <c r="BT1" s="358"/>
      <c r="BV1" s="359"/>
      <c r="BX1" s="358"/>
      <c r="BZ1" s="359"/>
      <c r="CB1" s="360"/>
      <c r="CD1" s="361"/>
      <c r="CF1" s="360"/>
      <c r="CH1" s="359"/>
      <c r="CJ1" s="358"/>
      <c r="CL1" s="359"/>
      <c r="CN1" s="358"/>
      <c r="CP1" s="359"/>
      <c r="CR1" s="360"/>
      <c r="CT1" s="361"/>
      <c r="CV1" s="360"/>
      <c r="CX1" s="359"/>
      <c r="CZ1" s="358"/>
      <c r="DB1" s="359"/>
      <c r="DD1" s="358"/>
      <c r="DF1" s="359"/>
      <c r="DH1" s="360"/>
      <c r="DJ1" s="361"/>
      <c r="DL1" s="360"/>
      <c r="DN1" s="359"/>
      <c r="DP1" s="358"/>
      <c r="DR1" s="359"/>
      <c r="DT1" s="358"/>
      <c r="DV1" s="359"/>
      <c r="DX1" s="360"/>
      <c r="DZ1" s="361"/>
      <c r="EB1" s="360"/>
      <c r="ED1" s="359"/>
      <c r="EF1" s="358"/>
      <c r="EH1" s="359"/>
      <c r="EJ1" s="358"/>
      <c r="EL1" s="359"/>
      <c r="EN1" s="358"/>
      <c r="EP1" s="359"/>
      <c r="ER1" s="358"/>
      <c r="ET1" s="359"/>
      <c r="EV1" s="358"/>
      <c r="EX1" s="359"/>
      <c r="EZ1" s="358"/>
      <c r="FB1" s="359"/>
      <c r="FD1" s="358"/>
      <c r="FF1" s="359"/>
      <c r="FH1" s="358"/>
      <c r="FJ1" s="359"/>
      <c r="FL1" s="358"/>
      <c r="FN1" s="359"/>
      <c r="FP1" s="358"/>
      <c r="FR1" s="359"/>
      <c r="FT1" s="358"/>
      <c r="FV1" s="359"/>
      <c r="FX1" s="358"/>
      <c r="FZ1" s="359"/>
      <c r="GB1" s="358"/>
      <c r="GD1" s="359"/>
      <c r="GF1" s="358"/>
      <c r="GH1" s="359"/>
      <c r="GJ1" s="358"/>
      <c r="GL1" s="359"/>
      <c r="GN1" s="358"/>
      <c r="GP1" s="359"/>
      <c r="GR1" s="358"/>
    </row>
    <row r="2">
      <c r="B2" s="364" t="s">
        <v>150</v>
      </c>
      <c r="C2" s="364" t="s">
        <v>151</v>
      </c>
      <c r="D2" s="355" t="s">
        <v>150</v>
      </c>
      <c r="E2" s="355" t="s">
        <v>151</v>
      </c>
      <c r="F2" s="364" t="s">
        <v>150</v>
      </c>
      <c r="G2" s="364" t="s">
        <v>151</v>
      </c>
      <c r="H2" s="355" t="s">
        <v>150</v>
      </c>
      <c r="I2" s="355" t="s">
        <v>151</v>
      </c>
      <c r="J2" s="364" t="s">
        <v>150</v>
      </c>
      <c r="K2" s="364" t="s">
        <v>151</v>
      </c>
      <c r="L2" s="355" t="s">
        <v>150</v>
      </c>
      <c r="M2" s="355" t="s">
        <v>151</v>
      </c>
      <c r="N2" s="364" t="s">
        <v>150</v>
      </c>
      <c r="O2" s="364" t="s">
        <v>151</v>
      </c>
      <c r="P2" s="355" t="s">
        <v>150</v>
      </c>
      <c r="Q2" s="355" t="s">
        <v>151</v>
      </c>
      <c r="R2" s="364" t="s">
        <v>150</v>
      </c>
      <c r="S2" s="364" t="s">
        <v>151</v>
      </c>
      <c r="T2" s="355" t="s">
        <v>150</v>
      </c>
      <c r="U2" s="355" t="s">
        <v>151</v>
      </c>
      <c r="V2" s="364" t="s">
        <v>150</v>
      </c>
      <c r="W2" s="364" t="s">
        <v>151</v>
      </c>
      <c r="X2" s="355" t="s">
        <v>150</v>
      </c>
      <c r="Y2" s="355" t="s">
        <v>151</v>
      </c>
      <c r="Z2" s="364" t="s">
        <v>150</v>
      </c>
      <c r="AA2" s="364" t="s">
        <v>151</v>
      </c>
      <c r="AB2" s="355" t="s">
        <v>150</v>
      </c>
      <c r="AC2" s="355" t="s">
        <v>151</v>
      </c>
      <c r="AD2" s="364" t="s">
        <v>150</v>
      </c>
      <c r="AE2" s="364" t="s">
        <v>151</v>
      </c>
      <c r="AF2" s="355" t="s">
        <v>150</v>
      </c>
      <c r="AG2" s="355" t="s">
        <v>151</v>
      </c>
      <c r="AH2" s="364" t="s">
        <v>150</v>
      </c>
      <c r="AI2" s="364" t="s">
        <v>151</v>
      </c>
      <c r="AJ2" s="355" t="s">
        <v>150</v>
      </c>
      <c r="AK2" s="355" t="s">
        <v>151</v>
      </c>
      <c r="AL2" s="364" t="s">
        <v>150</v>
      </c>
      <c r="AM2" s="364" t="s">
        <v>151</v>
      </c>
      <c r="AN2" s="355" t="s">
        <v>150</v>
      </c>
      <c r="AO2" s="355" t="s">
        <v>151</v>
      </c>
      <c r="AP2" s="364" t="s">
        <v>150</v>
      </c>
      <c r="AQ2" s="364" t="s">
        <v>151</v>
      </c>
      <c r="AR2" s="355" t="s">
        <v>150</v>
      </c>
      <c r="AS2" s="355" t="s">
        <v>151</v>
      </c>
      <c r="AT2" s="364" t="s">
        <v>150</v>
      </c>
      <c r="AU2" s="364" t="s">
        <v>151</v>
      </c>
      <c r="AV2" s="355" t="s">
        <v>150</v>
      </c>
      <c r="AW2" s="355" t="s">
        <v>151</v>
      </c>
      <c r="AX2" s="364" t="s">
        <v>150</v>
      </c>
      <c r="AY2" s="364" t="s">
        <v>151</v>
      </c>
      <c r="AZ2" s="355" t="s">
        <v>150</v>
      </c>
      <c r="BA2" s="355" t="s">
        <v>151</v>
      </c>
      <c r="BB2" s="364" t="s">
        <v>150</v>
      </c>
      <c r="BC2" s="364" t="s">
        <v>151</v>
      </c>
      <c r="BD2" s="355" t="s">
        <v>150</v>
      </c>
      <c r="BE2" s="355" t="s">
        <v>151</v>
      </c>
      <c r="BF2" s="364" t="s">
        <v>150</v>
      </c>
      <c r="BG2" s="364" t="s">
        <v>151</v>
      </c>
      <c r="BH2" s="355" t="s">
        <v>150</v>
      </c>
      <c r="BI2" s="355" t="s">
        <v>151</v>
      </c>
      <c r="BJ2" s="364" t="s">
        <v>150</v>
      </c>
      <c r="BK2" s="364" t="s">
        <v>151</v>
      </c>
      <c r="BL2" s="355" t="s">
        <v>150</v>
      </c>
      <c r="BM2" s="355" t="s">
        <v>151</v>
      </c>
      <c r="BN2" s="364" t="s">
        <v>150</v>
      </c>
      <c r="BO2" s="364" t="s">
        <v>151</v>
      </c>
      <c r="BP2" s="355" t="s">
        <v>150</v>
      </c>
      <c r="BQ2" s="355" t="s">
        <v>151</v>
      </c>
      <c r="BR2" s="364" t="s">
        <v>150</v>
      </c>
      <c r="BS2" s="364" t="s">
        <v>151</v>
      </c>
      <c r="BT2" s="355" t="s">
        <v>150</v>
      </c>
      <c r="BU2" s="355" t="s">
        <v>151</v>
      </c>
      <c r="BV2" s="364" t="s">
        <v>150</v>
      </c>
      <c r="BW2" s="364" t="s">
        <v>151</v>
      </c>
      <c r="BX2" s="355" t="s">
        <v>150</v>
      </c>
      <c r="BY2" s="355" t="s">
        <v>151</v>
      </c>
      <c r="BZ2" s="364" t="s">
        <v>150</v>
      </c>
      <c r="CA2" s="364" t="s">
        <v>151</v>
      </c>
      <c r="CB2" s="355" t="s">
        <v>150</v>
      </c>
      <c r="CC2" s="355" t="s">
        <v>151</v>
      </c>
      <c r="CD2" s="364" t="s">
        <v>150</v>
      </c>
      <c r="CE2" s="364" t="s">
        <v>151</v>
      </c>
      <c r="CF2" s="355" t="s">
        <v>150</v>
      </c>
      <c r="CG2" s="355" t="s">
        <v>151</v>
      </c>
      <c r="CH2" s="364" t="s">
        <v>150</v>
      </c>
      <c r="CI2" s="364" t="s">
        <v>151</v>
      </c>
      <c r="CJ2" s="355" t="s">
        <v>150</v>
      </c>
      <c r="CK2" s="355" t="s">
        <v>151</v>
      </c>
      <c r="CL2" s="364" t="s">
        <v>150</v>
      </c>
      <c r="CM2" s="364" t="s">
        <v>151</v>
      </c>
      <c r="CN2" s="355" t="s">
        <v>150</v>
      </c>
      <c r="CO2" s="355" t="s">
        <v>151</v>
      </c>
      <c r="CP2" s="364" t="s">
        <v>150</v>
      </c>
      <c r="CQ2" s="364" t="s">
        <v>151</v>
      </c>
      <c r="CR2" s="355" t="s">
        <v>150</v>
      </c>
      <c r="CS2" s="355" t="s">
        <v>151</v>
      </c>
      <c r="CT2" s="364" t="s">
        <v>150</v>
      </c>
      <c r="CU2" s="364" t="s">
        <v>151</v>
      </c>
      <c r="CV2" s="355" t="s">
        <v>150</v>
      </c>
      <c r="CW2" s="355" t="s">
        <v>151</v>
      </c>
      <c r="CX2" s="364" t="s">
        <v>150</v>
      </c>
      <c r="CY2" s="364" t="s">
        <v>151</v>
      </c>
      <c r="CZ2" s="355" t="s">
        <v>150</v>
      </c>
      <c r="DA2" s="355" t="s">
        <v>151</v>
      </c>
      <c r="DB2" s="364" t="s">
        <v>150</v>
      </c>
      <c r="DC2" s="364" t="s">
        <v>151</v>
      </c>
      <c r="DD2" s="355" t="s">
        <v>150</v>
      </c>
      <c r="DE2" s="355" t="s">
        <v>151</v>
      </c>
      <c r="DF2" s="364" t="s">
        <v>150</v>
      </c>
      <c r="DG2" s="364" t="s">
        <v>151</v>
      </c>
      <c r="DH2" s="355" t="s">
        <v>150</v>
      </c>
      <c r="DI2" s="355" t="s">
        <v>151</v>
      </c>
      <c r="DJ2" s="364" t="s">
        <v>150</v>
      </c>
      <c r="DK2" s="364" t="s">
        <v>151</v>
      </c>
      <c r="DL2" s="355" t="s">
        <v>150</v>
      </c>
      <c r="DM2" s="355" t="s">
        <v>151</v>
      </c>
      <c r="DN2" s="364" t="s">
        <v>150</v>
      </c>
      <c r="DO2" s="364" t="s">
        <v>151</v>
      </c>
      <c r="DP2" s="355" t="s">
        <v>150</v>
      </c>
      <c r="DQ2" s="355" t="s">
        <v>151</v>
      </c>
      <c r="DR2" s="364" t="s">
        <v>150</v>
      </c>
      <c r="DS2" s="364" t="s">
        <v>151</v>
      </c>
      <c r="DT2" s="355" t="s">
        <v>150</v>
      </c>
      <c r="DU2" s="355" t="s">
        <v>151</v>
      </c>
      <c r="DV2" s="364" t="s">
        <v>150</v>
      </c>
      <c r="DW2" s="364" t="s">
        <v>151</v>
      </c>
      <c r="DX2" s="355" t="s">
        <v>150</v>
      </c>
      <c r="DY2" s="355" t="s">
        <v>151</v>
      </c>
      <c r="DZ2" s="364" t="s">
        <v>150</v>
      </c>
      <c r="EA2" s="364" t="s">
        <v>151</v>
      </c>
      <c r="EB2" s="355" t="s">
        <v>150</v>
      </c>
      <c r="EC2" s="355" t="s">
        <v>151</v>
      </c>
      <c r="ED2" s="364" t="s">
        <v>150</v>
      </c>
      <c r="EE2" s="364" t="s">
        <v>151</v>
      </c>
      <c r="EF2" s="355" t="s">
        <v>150</v>
      </c>
      <c r="EG2" s="355" t="s">
        <v>151</v>
      </c>
      <c r="EH2" s="364" t="s">
        <v>150</v>
      </c>
      <c r="EI2" s="364" t="s">
        <v>151</v>
      </c>
      <c r="EJ2" s="355" t="s">
        <v>150</v>
      </c>
      <c r="EK2" s="355" t="s">
        <v>151</v>
      </c>
      <c r="EL2" s="364" t="s">
        <v>150</v>
      </c>
      <c r="EM2" s="364" t="s">
        <v>151</v>
      </c>
      <c r="EN2" s="355" t="s">
        <v>150</v>
      </c>
      <c r="EO2" s="355" t="s">
        <v>151</v>
      </c>
      <c r="EP2" s="364" t="s">
        <v>150</v>
      </c>
      <c r="EQ2" s="364" t="s">
        <v>151</v>
      </c>
      <c r="ER2" s="355" t="s">
        <v>150</v>
      </c>
      <c r="ES2" s="355" t="s">
        <v>151</v>
      </c>
      <c r="ET2" s="364" t="s">
        <v>150</v>
      </c>
      <c r="EU2" s="364" t="s">
        <v>151</v>
      </c>
      <c r="EV2" s="355" t="s">
        <v>150</v>
      </c>
      <c r="EW2" s="355" t="s">
        <v>151</v>
      </c>
      <c r="EX2" s="364" t="s">
        <v>150</v>
      </c>
      <c r="EY2" s="364" t="s">
        <v>151</v>
      </c>
      <c r="EZ2" s="355" t="s">
        <v>150</v>
      </c>
      <c r="FA2" s="355" t="s">
        <v>151</v>
      </c>
      <c r="FB2" s="364" t="s">
        <v>150</v>
      </c>
      <c r="FC2" s="364" t="s">
        <v>151</v>
      </c>
      <c r="FD2" s="355" t="s">
        <v>150</v>
      </c>
      <c r="FE2" s="355" t="s">
        <v>151</v>
      </c>
      <c r="FF2" s="364" t="s">
        <v>150</v>
      </c>
      <c r="FG2" s="364" t="s">
        <v>151</v>
      </c>
      <c r="FH2" s="355" t="s">
        <v>150</v>
      </c>
      <c r="FI2" s="355" t="s">
        <v>151</v>
      </c>
      <c r="FJ2" s="364" t="s">
        <v>150</v>
      </c>
      <c r="FK2" s="364" t="s">
        <v>151</v>
      </c>
      <c r="FL2" s="355" t="s">
        <v>150</v>
      </c>
      <c r="FM2" s="355" t="s">
        <v>151</v>
      </c>
      <c r="FN2" s="364" t="s">
        <v>150</v>
      </c>
      <c r="FO2" s="364" t="s">
        <v>151</v>
      </c>
      <c r="FP2" s="355" t="s">
        <v>150</v>
      </c>
      <c r="FQ2" s="355" t="s">
        <v>151</v>
      </c>
      <c r="FR2" s="364" t="s">
        <v>150</v>
      </c>
      <c r="FS2" s="364" t="s">
        <v>151</v>
      </c>
      <c r="FT2" s="355" t="s">
        <v>150</v>
      </c>
      <c r="FU2" s="355" t="s">
        <v>151</v>
      </c>
      <c r="FV2" s="364" t="s">
        <v>150</v>
      </c>
      <c r="FW2" s="364" t="s">
        <v>151</v>
      </c>
      <c r="FX2" s="355" t="s">
        <v>150</v>
      </c>
      <c r="FY2" s="355" t="s">
        <v>151</v>
      </c>
      <c r="FZ2" s="364" t="s">
        <v>150</v>
      </c>
      <c r="GA2" s="364" t="s">
        <v>151</v>
      </c>
      <c r="GB2" s="355" t="s">
        <v>150</v>
      </c>
      <c r="GC2" s="355" t="s">
        <v>151</v>
      </c>
      <c r="GD2" s="364" t="s">
        <v>150</v>
      </c>
      <c r="GE2" s="364" t="s">
        <v>151</v>
      </c>
      <c r="GF2" s="355" t="s">
        <v>150</v>
      </c>
      <c r="GG2" s="355" t="s">
        <v>151</v>
      </c>
      <c r="GH2" s="364" t="s">
        <v>150</v>
      </c>
      <c r="GI2" s="364" t="s">
        <v>151</v>
      </c>
      <c r="GJ2" s="355" t="s">
        <v>150</v>
      </c>
      <c r="GK2" s="355" t="s">
        <v>151</v>
      </c>
      <c r="GL2" s="364" t="s">
        <v>150</v>
      </c>
      <c r="GM2" s="364" t="s">
        <v>151</v>
      </c>
      <c r="GN2" s="355" t="s">
        <v>150</v>
      </c>
      <c r="GO2" s="355" t="s">
        <v>151</v>
      </c>
      <c r="GP2" s="364" t="s">
        <v>150</v>
      </c>
      <c r="GQ2" s="364" t="s">
        <v>151</v>
      </c>
      <c r="GR2" s="355" t="s">
        <v>150</v>
      </c>
      <c r="GS2" s="355" t="s">
        <v>151</v>
      </c>
    </row>
    <row r="3">
      <c r="A3" s="365" t="s">
        <v>175</v>
      </c>
      <c r="B3" s="365"/>
      <c r="C3" s="365"/>
      <c r="D3" s="365"/>
      <c r="E3" s="365"/>
      <c r="F3" s="365"/>
      <c r="G3" s="365"/>
      <c r="H3" s="365"/>
      <c r="I3" s="365"/>
      <c r="J3" s="365"/>
      <c r="K3" s="365"/>
      <c r="L3" s="365"/>
      <c r="M3" s="365"/>
      <c r="N3" s="365"/>
      <c r="O3" s="365"/>
      <c r="P3" s="365"/>
      <c r="Q3" s="365"/>
      <c r="R3" s="365"/>
      <c r="S3" s="365"/>
      <c r="T3" s="365"/>
      <c r="U3" s="365"/>
      <c r="V3" s="365"/>
      <c r="W3" s="365"/>
      <c r="X3" s="365"/>
      <c r="Y3" s="365"/>
      <c r="Z3" s="365"/>
      <c r="AA3" s="365"/>
      <c r="AB3" s="365"/>
      <c r="AC3" s="365"/>
      <c r="AD3" s="365"/>
      <c r="AE3" s="365"/>
      <c r="AF3" s="365"/>
      <c r="AG3" s="365"/>
      <c r="AH3" s="365"/>
      <c r="AI3" s="365"/>
      <c r="AJ3" s="365"/>
      <c r="AK3" s="365"/>
      <c r="AL3" s="365"/>
      <c r="AM3" s="365"/>
      <c r="AN3" s="365"/>
      <c r="AO3" s="365"/>
      <c r="AP3" s="365"/>
      <c r="AQ3" s="365"/>
      <c r="AR3" s="365"/>
      <c r="AS3" s="365"/>
      <c r="AT3" s="365"/>
      <c r="AU3" s="365"/>
      <c r="AV3" s="365"/>
      <c r="AW3" s="365"/>
      <c r="AX3" s="365"/>
      <c r="AY3" s="365"/>
      <c r="AZ3" s="365"/>
      <c r="BA3" s="365"/>
      <c r="BB3" s="365"/>
      <c r="BC3" s="365"/>
      <c r="BD3" s="365"/>
      <c r="BE3" s="365"/>
      <c r="BF3" s="365"/>
      <c r="BG3" s="365"/>
      <c r="BH3" s="365"/>
      <c r="BI3" s="365"/>
      <c r="BJ3" s="365"/>
      <c r="BK3" s="365"/>
      <c r="BL3" s="365"/>
      <c r="BM3" s="365"/>
      <c r="BN3" s="365"/>
      <c r="BO3" s="365"/>
      <c r="BP3" s="365"/>
      <c r="BQ3" s="365"/>
      <c r="BR3" s="365"/>
      <c r="BS3" s="365"/>
      <c r="BT3" s="365"/>
      <c r="BU3" s="365"/>
      <c r="BV3" s="365"/>
      <c r="BW3" s="365"/>
      <c r="BX3" s="365"/>
      <c r="BY3" s="365"/>
      <c r="BZ3" s="365"/>
      <c r="CA3" s="365"/>
      <c r="CB3" s="365"/>
      <c r="CC3" s="365"/>
      <c r="CD3" s="365"/>
      <c r="CE3" s="365"/>
      <c r="CF3" s="365"/>
      <c r="CG3" s="365"/>
      <c r="CH3" s="365"/>
      <c r="CI3" s="365"/>
      <c r="CJ3" s="365"/>
      <c r="CK3" s="365"/>
      <c r="CL3" s="365"/>
      <c r="CM3" s="365"/>
      <c r="CN3" s="365"/>
      <c r="CO3" s="365"/>
      <c r="CP3" s="365"/>
      <c r="CQ3" s="365"/>
      <c r="CR3" s="365"/>
      <c r="CS3" s="365"/>
      <c r="CT3" s="365"/>
      <c r="CU3" s="365"/>
      <c r="CV3" s="365"/>
      <c r="CW3" s="365"/>
      <c r="CX3" s="365"/>
      <c r="CY3" s="365"/>
      <c r="CZ3" s="365"/>
      <c r="DA3" s="365"/>
      <c r="DB3" s="365"/>
      <c r="DC3" s="365"/>
      <c r="DD3" s="365"/>
      <c r="DE3" s="365"/>
      <c r="DF3" s="365"/>
      <c r="DG3" s="365"/>
      <c r="DH3" s="365"/>
      <c r="DI3" s="365"/>
      <c r="DJ3" s="365"/>
      <c r="DK3" s="365"/>
      <c r="DL3" s="365"/>
      <c r="DM3" s="365"/>
      <c r="DN3" s="365"/>
      <c r="DO3" s="365"/>
      <c r="DP3" s="365"/>
      <c r="DQ3" s="365"/>
      <c r="DR3" s="365"/>
      <c r="DS3" s="365"/>
      <c r="DT3" s="365"/>
      <c r="DU3" s="365"/>
      <c r="DV3" s="365"/>
      <c r="DW3" s="365"/>
      <c r="DX3" s="365"/>
      <c r="DY3" s="365"/>
      <c r="DZ3" s="365"/>
      <c r="EA3" s="365"/>
      <c r="EB3" s="365"/>
      <c r="EC3" s="365"/>
      <c r="ED3" s="365"/>
      <c r="EE3" s="365"/>
      <c r="EF3" s="365"/>
      <c r="EG3" s="365"/>
      <c r="EH3" s="365"/>
      <c r="EI3" s="365"/>
      <c r="EJ3" s="365"/>
      <c r="EK3" s="365"/>
      <c r="EL3" s="365"/>
      <c r="EM3" s="365"/>
      <c r="EN3" s="365"/>
      <c r="EO3" s="365"/>
      <c r="EP3" s="365"/>
      <c r="EQ3" s="365"/>
      <c r="ER3" s="365"/>
      <c r="ES3" s="365"/>
      <c r="ET3" s="365"/>
      <c r="EU3" s="365"/>
      <c r="EV3" s="365"/>
      <c r="EW3" s="365"/>
      <c r="EX3" s="365"/>
      <c r="EY3" s="365"/>
      <c r="EZ3" s="365"/>
      <c r="FA3" s="365"/>
      <c r="FB3" s="365"/>
      <c r="FC3" s="365"/>
      <c r="FD3" s="365"/>
      <c r="FE3" s="365"/>
      <c r="FF3" s="365"/>
      <c r="FG3" s="365"/>
      <c r="FH3" s="365"/>
      <c r="FI3" s="365"/>
      <c r="FJ3" s="365"/>
      <c r="FK3" s="365"/>
      <c r="FL3" s="365"/>
      <c r="FM3" s="365"/>
      <c r="FN3" s="365"/>
      <c r="FO3" s="365"/>
      <c r="FP3" s="365"/>
      <c r="FQ3" s="365"/>
      <c r="FR3" s="365"/>
      <c r="FS3" s="365"/>
      <c r="FT3" s="365"/>
      <c r="FU3" s="365"/>
      <c r="FV3" s="365"/>
      <c r="FW3" s="365"/>
      <c r="FX3" s="365"/>
      <c r="FY3" s="365"/>
      <c r="FZ3" s="365"/>
      <c r="GA3" s="365"/>
      <c r="GB3" s="365"/>
      <c r="GC3" s="365"/>
      <c r="GD3" s="365"/>
      <c r="GE3" s="365"/>
      <c r="GF3" s="365"/>
      <c r="GG3" s="365"/>
      <c r="GH3" s="365"/>
      <c r="GI3" s="365"/>
      <c r="GJ3" s="365"/>
      <c r="GK3" s="365"/>
      <c r="GL3" s="365"/>
      <c r="GM3" s="365"/>
      <c r="GN3" s="365"/>
      <c r="GO3" s="365"/>
      <c r="GP3" s="365"/>
      <c r="GQ3" s="365"/>
      <c r="GR3" s="365"/>
      <c r="GS3" s="365"/>
    </row>
    <row r="4">
      <c r="A4" s="380" t="s">
        <v>197</v>
      </c>
      <c r="B4" s="371"/>
      <c r="C4" s="371"/>
      <c r="D4" s="370"/>
      <c r="E4" s="370"/>
      <c r="F4" s="371"/>
      <c r="G4" s="371"/>
      <c r="H4" s="370"/>
      <c r="I4" s="370"/>
      <c r="J4" s="371"/>
      <c r="K4" s="371"/>
      <c r="L4" s="370"/>
      <c r="M4" s="370"/>
      <c r="N4" s="371"/>
      <c r="O4" s="371"/>
      <c r="P4" s="370"/>
      <c r="Q4" s="370"/>
      <c r="R4" s="371"/>
      <c r="S4" s="371"/>
      <c r="T4" s="370"/>
      <c r="U4" s="370"/>
      <c r="V4" s="371"/>
      <c r="W4" s="371"/>
      <c r="X4" s="370"/>
      <c r="Y4" s="370"/>
      <c r="Z4" s="371"/>
      <c r="AA4" s="371"/>
      <c r="AB4" s="370"/>
      <c r="AC4" s="370"/>
      <c r="AD4" s="371"/>
      <c r="AE4" s="371"/>
      <c r="AF4" s="370"/>
      <c r="AG4" s="370"/>
      <c r="AH4" s="371"/>
      <c r="AI4" s="371"/>
      <c r="AJ4" s="370"/>
      <c r="AK4" s="370"/>
      <c r="AL4" s="371"/>
      <c r="AM4" s="371"/>
      <c r="AN4" s="370"/>
      <c r="AO4" s="370"/>
      <c r="AP4" s="371"/>
      <c r="AQ4" s="371"/>
      <c r="AR4" s="370"/>
      <c r="AS4" s="370"/>
      <c r="AT4" s="371"/>
      <c r="AU4" s="371"/>
      <c r="AV4" s="370"/>
      <c r="AW4" s="370"/>
      <c r="AX4" s="371"/>
      <c r="AY4" s="371"/>
      <c r="AZ4" s="370"/>
      <c r="BA4" s="370"/>
      <c r="BB4" s="371"/>
      <c r="BC4" s="371"/>
      <c r="BD4" s="370"/>
      <c r="BE4" s="370"/>
      <c r="BF4" s="371"/>
      <c r="BG4" s="371"/>
      <c r="BH4" s="370"/>
      <c r="BI4" s="370"/>
      <c r="BJ4" s="371"/>
      <c r="BK4" s="371"/>
      <c r="BL4" s="370"/>
      <c r="BM4" s="370"/>
      <c r="BN4" s="371"/>
      <c r="BO4" s="371"/>
      <c r="BP4" s="370"/>
      <c r="BQ4" s="370"/>
      <c r="BR4" s="371"/>
      <c r="BS4" s="371"/>
      <c r="BT4" s="370"/>
      <c r="BU4" s="370"/>
      <c r="BV4" s="371"/>
      <c r="BW4" s="371"/>
      <c r="BX4" s="370"/>
      <c r="BY4" s="370"/>
      <c r="BZ4" s="371"/>
      <c r="CA4" s="371"/>
      <c r="CB4" s="370"/>
      <c r="CC4" s="370"/>
      <c r="CD4" s="371"/>
      <c r="CE4" s="371"/>
      <c r="CF4" s="370"/>
      <c r="CG4" s="370"/>
      <c r="CH4" s="371"/>
      <c r="CI4" s="371"/>
      <c r="CJ4" s="370"/>
      <c r="CK4" s="370"/>
      <c r="CL4" s="371"/>
      <c r="CM4" s="371"/>
      <c r="CN4" s="370"/>
      <c r="CO4" s="370"/>
      <c r="CP4" s="371"/>
      <c r="CQ4" s="371"/>
      <c r="CR4" s="370"/>
      <c r="CS4" s="370"/>
      <c r="CT4" s="371"/>
      <c r="CU4" s="371"/>
      <c r="CV4" s="370"/>
      <c r="CW4" s="370"/>
      <c r="CX4" s="371"/>
      <c r="CY4" s="371"/>
      <c r="CZ4" s="370"/>
      <c r="DA4" s="370"/>
      <c r="DB4" s="371"/>
      <c r="DC4" s="371"/>
      <c r="DD4" s="370"/>
      <c r="DE4" s="370"/>
      <c r="DF4" s="371"/>
      <c r="DG4" s="371"/>
      <c r="DH4" s="370"/>
      <c r="DI4" s="370"/>
      <c r="DJ4" s="371"/>
      <c r="DK4" s="371"/>
      <c r="DL4" s="370"/>
      <c r="DM4" s="370"/>
      <c r="DN4" s="371"/>
      <c r="DO4" s="371"/>
      <c r="DP4" s="370"/>
      <c r="DQ4" s="370"/>
      <c r="DR4" s="371"/>
      <c r="DS4" s="371"/>
      <c r="DT4" s="370"/>
      <c r="DU4" s="370"/>
      <c r="DV4" s="371"/>
      <c r="DW4" s="371"/>
      <c r="DX4" s="370"/>
      <c r="DY4" s="370"/>
      <c r="DZ4" s="371"/>
      <c r="EA4" s="371"/>
      <c r="EB4" s="370"/>
      <c r="EC4" s="370"/>
      <c r="ED4" s="371"/>
      <c r="EE4" s="371"/>
      <c r="EF4" s="370"/>
      <c r="EG4" s="370"/>
      <c r="EH4" s="371"/>
      <c r="EI4" s="371"/>
      <c r="EJ4" s="370"/>
      <c r="EK4" s="370"/>
      <c r="EL4" s="371"/>
      <c r="EM4" s="371"/>
      <c r="EN4" s="370"/>
      <c r="EO4" s="370"/>
      <c r="EP4" s="371"/>
      <c r="EQ4" s="371"/>
      <c r="ER4" s="370"/>
      <c r="ES4" s="370"/>
      <c r="ET4" s="371"/>
      <c r="EU4" s="371"/>
      <c r="EV4" s="370"/>
      <c r="EW4" s="370"/>
      <c r="EX4" s="371"/>
      <c r="EY4" s="371"/>
      <c r="EZ4" s="370"/>
      <c r="FA4" s="370"/>
      <c r="FB4" s="371"/>
      <c r="FC4" s="371"/>
      <c r="FD4" s="370"/>
      <c r="FE4" s="370"/>
      <c r="FF4" s="371"/>
      <c r="FG4" s="371"/>
      <c r="FH4" s="370"/>
      <c r="FI4" s="370"/>
      <c r="FJ4" s="371"/>
      <c r="FK4" s="371"/>
      <c r="FL4" s="370"/>
      <c r="FM4" s="370"/>
      <c r="FN4" s="371"/>
      <c r="FO4" s="371"/>
      <c r="FP4" s="370"/>
      <c r="FQ4" s="370"/>
      <c r="FR4" s="371"/>
      <c r="FS4" s="371"/>
      <c r="FT4" s="370"/>
      <c r="FU4" s="370"/>
      <c r="FV4" s="371"/>
      <c r="FW4" s="371"/>
      <c r="FX4" s="370"/>
      <c r="FY4" s="370"/>
      <c r="FZ4" s="371"/>
      <c r="GA4" s="371"/>
      <c r="GB4" s="370"/>
      <c r="GC4" s="370"/>
      <c r="GD4" s="371"/>
      <c r="GE4" s="371"/>
      <c r="GF4" s="370"/>
      <c r="GG4" s="370"/>
      <c r="GH4" s="371"/>
      <c r="GI4" s="371"/>
      <c r="GJ4" s="370"/>
      <c r="GK4" s="370"/>
      <c r="GL4" s="371"/>
      <c r="GM4" s="371"/>
      <c r="GN4" s="370"/>
      <c r="GO4" s="370"/>
      <c r="GP4" s="371"/>
      <c r="GQ4" s="371"/>
      <c r="GR4" s="370"/>
      <c r="GS4" s="370"/>
    </row>
    <row r="5">
      <c r="A5" s="380" t="s">
        <v>198</v>
      </c>
      <c r="B5" s="371"/>
      <c r="C5" s="371"/>
      <c r="D5" s="370"/>
      <c r="E5" s="370"/>
      <c r="F5" s="371"/>
      <c r="G5" s="371"/>
      <c r="H5" s="370"/>
      <c r="I5" s="370"/>
      <c r="J5" s="371"/>
      <c r="K5" s="371"/>
      <c r="L5" s="370"/>
      <c r="M5" s="370"/>
      <c r="N5" s="371"/>
      <c r="O5" s="371"/>
      <c r="P5" s="370"/>
      <c r="Q5" s="370"/>
      <c r="R5" s="371"/>
      <c r="S5" s="371"/>
      <c r="T5" s="370"/>
      <c r="U5" s="370"/>
      <c r="V5" s="371"/>
      <c r="W5" s="371"/>
      <c r="X5" s="370"/>
      <c r="Y5" s="370"/>
      <c r="Z5" s="371"/>
      <c r="AA5" s="371"/>
      <c r="AB5" s="370"/>
      <c r="AC5" s="370"/>
      <c r="AD5" s="371"/>
      <c r="AE5" s="371"/>
      <c r="AF5" s="370"/>
      <c r="AG5" s="370"/>
      <c r="AH5" s="371"/>
      <c r="AI5" s="371"/>
      <c r="AJ5" s="370"/>
      <c r="AK5" s="370"/>
      <c r="AL5" s="371"/>
      <c r="AM5" s="371"/>
      <c r="AN5" s="370"/>
      <c r="AO5" s="370"/>
      <c r="AP5" s="371"/>
      <c r="AQ5" s="371"/>
      <c r="AR5" s="370"/>
      <c r="AS5" s="370"/>
      <c r="AT5" s="371"/>
      <c r="AU5" s="371"/>
      <c r="AV5" s="370"/>
      <c r="AW5" s="370"/>
      <c r="AX5" s="371"/>
      <c r="AY5" s="371"/>
      <c r="AZ5" s="370"/>
      <c r="BA5" s="370"/>
      <c r="BB5" s="371"/>
      <c r="BC5" s="371"/>
      <c r="BD5" s="370"/>
      <c r="BE5" s="370"/>
      <c r="BF5" s="371"/>
      <c r="BG5" s="371"/>
      <c r="BH5" s="370"/>
      <c r="BI5" s="370"/>
      <c r="BJ5" s="371"/>
      <c r="BK5" s="371"/>
      <c r="BL5" s="370"/>
      <c r="BM5" s="370"/>
      <c r="BN5" s="371"/>
      <c r="BO5" s="371"/>
      <c r="BP5" s="370"/>
      <c r="BQ5" s="370"/>
      <c r="BR5" s="371"/>
      <c r="BS5" s="371"/>
      <c r="BT5" s="370"/>
      <c r="BU5" s="370"/>
      <c r="BV5" s="371"/>
      <c r="BW5" s="371"/>
      <c r="BX5" s="370"/>
      <c r="BY5" s="370"/>
      <c r="BZ5" s="371"/>
      <c r="CA5" s="371"/>
      <c r="CB5" s="370"/>
      <c r="CC5" s="370"/>
      <c r="CD5" s="371"/>
      <c r="CE5" s="371"/>
      <c r="CF5" s="370"/>
      <c r="CG5" s="370"/>
      <c r="CH5" s="371"/>
      <c r="CI5" s="371"/>
      <c r="CJ5" s="370"/>
      <c r="CK5" s="370"/>
      <c r="CL5" s="371"/>
      <c r="CM5" s="371"/>
      <c r="CN5" s="370"/>
      <c r="CO5" s="370"/>
      <c r="CP5" s="371"/>
      <c r="CQ5" s="371"/>
      <c r="CR5" s="370"/>
      <c r="CS5" s="370"/>
      <c r="CT5" s="371"/>
      <c r="CU5" s="371"/>
      <c r="CV5" s="370"/>
      <c r="CW5" s="370"/>
      <c r="CX5" s="371"/>
      <c r="CY5" s="371"/>
      <c r="CZ5" s="370"/>
      <c r="DA5" s="370"/>
      <c r="DB5" s="371"/>
      <c r="DC5" s="371"/>
      <c r="DD5" s="370"/>
      <c r="DE5" s="370"/>
      <c r="DF5" s="371"/>
      <c r="DG5" s="371"/>
      <c r="DH5" s="370"/>
      <c r="DI5" s="370"/>
      <c r="DJ5" s="371"/>
      <c r="DK5" s="371"/>
      <c r="DL5" s="370"/>
      <c r="DM5" s="370"/>
      <c r="DN5" s="371"/>
      <c r="DO5" s="371"/>
      <c r="DP5" s="370"/>
      <c r="DQ5" s="370"/>
      <c r="DR5" s="371"/>
      <c r="DS5" s="371"/>
      <c r="DT5" s="370"/>
      <c r="DU5" s="370"/>
      <c r="DV5" s="371"/>
      <c r="DW5" s="371"/>
      <c r="DX5" s="370"/>
      <c r="DY5" s="370"/>
      <c r="DZ5" s="371"/>
      <c r="EA5" s="371"/>
      <c r="EB5" s="370"/>
      <c r="EC5" s="370"/>
      <c r="ED5" s="371"/>
      <c r="EE5" s="371"/>
      <c r="EF5" s="370"/>
      <c r="EG5" s="370"/>
      <c r="EH5" s="371"/>
      <c r="EI5" s="371"/>
      <c r="EJ5" s="370"/>
      <c r="EK5" s="370"/>
      <c r="EL5" s="371"/>
      <c r="EM5" s="371"/>
      <c r="EN5" s="370"/>
      <c r="EO5" s="370"/>
      <c r="EP5" s="371"/>
      <c r="EQ5" s="371"/>
      <c r="ER5" s="370"/>
      <c r="ES5" s="370"/>
      <c r="ET5" s="371"/>
      <c r="EU5" s="371"/>
      <c r="EV5" s="370"/>
      <c r="EW5" s="370"/>
      <c r="EX5" s="371"/>
      <c r="EY5" s="371"/>
      <c r="EZ5" s="370"/>
      <c r="FA5" s="370"/>
      <c r="FB5" s="371"/>
      <c r="FC5" s="371"/>
      <c r="FD5" s="370"/>
      <c r="FE5" s="370"/>
      <c r="FF5" s="371"/>
      <c r="FG5" s="371"/>
      <c r="FH5" s="370"/>
      <c r="FI5" s="370"/>
      <c r="FJ5" s="371"/>
      <c r="FK5" s="371"/>
      <c r="FL5" s="370"/>
      <c r="FM5" s="370"/>
      <c r="FN5" s="371"/>
      <c r="FO5" s="371"/>
      <c r="FP5" s="370"/>
      <c r="FQ5" s="370"/>
      <c r="FR5" s="371"/>
      <c r="FS5" s="371"/>
      <c r="FT5" s="370"/>
      <c r="FU5" s="370"/>
      <c r="FV5" s="371"/>
      <c r="FW5" s="371"/>
      <c r="FX5" s="370"/>
      <c r="FY5" s="370"/>
      <c r="FZ5" s="371"/>
      <c r="GA5" s="371"/>
      <c r="GB5" s="370"/>
      <c r="GC5" s="370"/>
      <c r="GD5" s="371"/>
      <c r="GE5" s="371"/>
      <c r="GF5" s="370"/>
      <c r="GG5" s="370"/>
      <c r="GH5" s="371"/>
      <c r="GI5" s="371"/>
      <c r="GJ5" s="370"/>
      <c r="GK5" s="370"/>
      <c r="GL5" s="371"/>
      <c r="GM5" s="371"/>
      <c r="GN5" s="370"/>
      <c r="GO5" s="370"/>
      <c r="GP5" s="371"/>
      <c r="GQ5" s="371"/>
      <c r="GR5" s="370"/>
      <c r="GS5" s="370"/>
    </row>
    <row r="6">
      <c r="A6" s="380" t="s">
        <v>199</v>
      </c>
      <c r="B6" s="371"/>
      <c r="C6" s="371"/>
      <c r="D6" s="370"/>
      <c r="E6" s="370"/>
      <c r="F6" s="371"/>
      <c r="G6" s="371"/>
      <c r="H6" s="370"/>
      <c r="I6" s="370"/>
      <c r="J6" s="371"/>
      <c r="K6" s="371"/>
      <c r="L6" s="370"/>
      <c r="M6" s="370"/>
      <c r="N6" s="371"/>
      <c r="O6" s="371"/>
      <c r="P6" s="370"/>
      <c r="Q6" s="370"/>
      <c r="R6" s="371"/>
      <c r="S6" s="371"/>
      <c r="T6" s="370"/>
      <c r="U6" s="370"/>
      <c r="V6" s="371"/>
      <c r="W6" s="371"/>
      <c r="X6" s="370"/>
      <c r="Y6" s="370"/>
      <c r="Z6" s="371"/>
      <c r="AA6" s="371"/>
      <c r="AB6" s="370"/>
      <c r="AC6" s="370"/>
      <c r="AD6" s="371"/>
      <c r="AE6" s="371"/>
      <c r="AF6" s="370"/>
      <c r="AG6" s="370"/>
      <c r="AH6" s="371"/>
      <c r="AI6" s="371"/>
      <c r="AJ6" s="370"/>
      <c r="AK6" s="370"/>
      <c r="AL6" s="371"/>
      <c r="AM6" s="371"/>
      <c r="AN6" s="370"/>
      <c r="AO6" s="370"/>
      <c r="AP6" s="371"/>
      <c r="AQ6" s="371"/>
      <c r="AR6" s="370"/>
      <c r="AS6" s="370"/>
      <c r="AT6" s="371"/>
      <c r="AU6" s="371"/>
      <c r="AV6" s="370"/>
      <c r="AW6" s="370"/>
      <c r="AX6" s="371"/>
      <c r="AY6" s="371"/>
      <c r="AZ6" s="370"/>
      <c r="BA6" s="370"/>
      <c r="BB6" s="371"/>
      <c r="BC6" s="371"/>
      <c r="BD6" s="370"/>
      <c r="BE6" s="370"/>
      <c r="BF6" s="371"/>
      <c r="BG6" s="371"/>
      <c r="BH6" s="370"/>
      <c r="BI6" s="370"/>
      <c r="BJ6" s="371"/>
      <c r="BK6" s="371"/>
      <c r="BL6" s="370"/>
      <c r="BM6" s="370"/>
      <c r="BN6" s="371"/>
      <c r="BO6" s="371"/>
      <c r="BP6" s="370"/>
      <c r="BQ6" s="370"/>
      <c r="BR6" s="371"/>
      <c r="BS6" s="371"/>
      <c r="BT6" s="370"/>
      <c r="BU6" s="370"/>
      <c r="BV6" s="371"/>
      <c r="BW6" s="371"/>
      <c r="BX6" s="370"/>
      <c r="BY6" s="370"/>
      <c r="BZ6" s="371"/>
      <c r="CA6" s="371"/>
      <c r="CB6" s="370"/>
      <c r="CC6" s="370"/>
      <c r="CD6" s="371"/>
      <c r="CE6" s="371"/>
      <c r="CF6" s="370"/>
      <c r="CG6" s="370"/>
      <c r="CH6" s="371"/>
      <c r="CI6" s="371"/>
      <c r="CJ6" s="370"/>
      <c r="CK6" s="370"/>
      <c r="CL6" s="371"/>
      <c r="CM6" s="371"/>
      <c r="CN6" s="370"/>
      <c r="CO6" s="370"/>
      <c r="CP6" s="371"/>
      <c r="CQ6" s="371"/>
      <c r="CR6" s="370"/>
      <c r="CS6" s="370"/>
      <c r="CT6" s="371"/>
      <c r="CU6" s="371"/>
      <c r="CV6" s="370"/>
      <c r="CW6" s="370"/>
      <c r="CX6" s="371"/>
      <c r="CY6" s="371"/>
      <c r="CZ6" s="370"/>
      <c r="DA6" s="370"/>
      <c r="DB6" s="371"/>
      <c r="DC6" s="371"/>
      <c r="DD6" s="370"/>
      <c r="DE6" s="370"/>
      <c r="DF6" s="371"/>
      <c r="DG6" s="371"/>
      <c r="DH6" s="370"/>
      <c r="DI6" s="370"/>
      <c r="DJ6" s="371"/>
      <c r="DK6" s="371"/>
      <c r="DL6" s="370"/>
      <c r="DM6" s="370"/>
      <c r="DN6" s="371"/>
      <c r="DO6" s="371"/>
      <c r="DP6" s="370"/>
      <c r="DQ6" s="370"/>
      <c r="DR6" s="371"/>
      <c r="DS6" s="371"/>
      <c r="DT6" s="370"/>
      <c r="DU6" s="370"/>
      <c r="DV6" s="371"/>
      <c r="DW6" s="371"/>
      <c r="DX6" s="370"/>
      <c r="DY6" s="370"/>
      <c r="DZ6" s="371"/>
      <c r="EA6" s="371"/>
      <c r="EB6" s="370"/>
      <c r="EC6" s="370"/>
      <c r="ED6" s="371"/>
      <c r="EE6" s="371"/>
      <c r="EF6" s="370"/>
      <c r="EG6" s="370"/>
      <c r="EH6" s="371"/>
      <c r="EI6" s="371"/>
      <c r="EJ6" s="370"/>
      <c r="EK6" s="370"/>
      <c r="EL6" s="371"/>
      <c r="EM6" s="371"/>
      <c r="EN6" s="370"/>
      <c r="EO6" s="370"/>
      <c r="EP6" s="371"/>
      <c r="EQ6" s="371"/>
      <c r="ER6" s="370"/>
      <c r="ES6" s="370"/>
      <c r="ET6" s="371"/>
      <c r="EU6" s="371"/>
      <c r="EV6" s="370"/>
      <c r="EW6" s="370"/>
      <c r="EX6" s="371"/>
      <c r="EY6" s="371"/>
      <c r="EZ6" s="370"/>
      <c r="FA6" s="370"/>
      <c r="FB6" s="371"/>
      <c r="FC6" s="371"/>
      <c r="FD6" s="370"/>
      <c r="FE6" s="370"/>
      <c r="FF6" s="371"/>
      <c r="FG6" s="371"/>
      <c r="FH6" s="370"/>
      <c r="FI6" s="370"/>
      <c r="FJ6" s="371"/>
      <c r="FK6" s="371"/>
      <c r="FL6" s="370"/>
      <c r="FM6" s="370"/>
      <c r="FN6" s="371"/>
      <c r="FO6" s="371"/>
      <c r="FP6" s="370"/>
      <c r="FQ6" s="370"/>
      <c r="FR6" s="371"/>
      <c r="FS6" s="371"/>
      <c r="FT6" s="370"/>
      <c r="FU6" s="370"/>
      <c r="FV6" s="371"/>
      <c r="FW6" s="371"/>
      <c r="FX6" s="370"/>
      <c r="FY6" s="370"/>
      <c r="FZ6" s="371"/>
      <c r="GA6" s="371"/>
      <c r="GB6" s="370"/>
      <c r="GC6" s="370"/>
      <c r="GD6" s="371"/>
      <c r="GE6" s="371"/>
      <c r="GF6" s="370"/>
      <c r="GG6" s="370"/>
      <c r="GH6" s="371"/>
      <c r="GI6" s="371"/>
      <c r="GJ6" s="370"/>
      <c r="GK6" s="370"/>
      <c r="GL6" s="371"/>
      <c r="GM6" s="371"/>
      <c r="GN6" s="370"/>
      <c r="GO6" s="370"/>
      <c r="GP6" s="371"/>
      <c r="GQ6" s="371"/>
      <c r="GR6" s="370"/>
      <c r="GS6" s="370"/>
    </row>
    <row r="7">
      <c r="A7" s="380" t="s">
        <v>200</v>
      </c>
      <c r="B7" s="371"/>
      <c r="C7" s="371"/>
      <c r="D7" s="370"/>
      <c r="E7" s="370"/>
      <c r="F7" s="371"/>
      <c r="G7" s="371"/>
      <c r="H7" s="370"/>
      <c r="I7" s="370"/>
      <c r="J7" s="371"/>
      <c r="K7" s="371"/>
      <c r="L7" s="370"/>
      <c r="M7" s="370"/>
      <c r="N7" s="371"/>
      <c r="O7" s="371"/>
      <c r="P7" s="370"/>
      <c r="Q7" s="370"/>
      <c r="R7" s="371"/>
      <c r="S7" s="371"/>
      <c r="T7" s="370"/>
      <c r="U7" s="370"/>
      <c r="V7" s="371"/>
      <c r="W7" s="371"/>
      <c r="X7" s="370"/>
      <c r="Y7" s="370"/>
      <c r="Z7" s="371"/>
      <c r="AA7" s="371"/>
      <c r="AB7" s="370"/>
      <c r="AC7" s="370"/>
      <c r="AD7" s="371"/>
      <c r="AE7" s="371"/>
      <c r="AF7" s="370"/>
      <c r="AG7" s="370"/>
      <c r="AH7" s="371"/>
      <c r="AI7" s="371"/>
      <c r="AJ7" s="370"/>
      <c r="AK7" s="370"/>
      <c r="AL7" s="371"/>
      <c r="AM7" s="371"/>
      <c r="AN7" s="370"/>
      <c r="AO7" s="370"/>
      <c r="AP7" s="371"/>
      <c r="AQ7" s="371"/>
      <c r="AR7" s="370"/>
      <c r="AS7" s="370"/>
      <c r="AT7" s="371"/>
      <c r="AU7" s="371"/>
      <c r="AV7" s="370"/>
      <c r="AW7" s="370"/>
      <c r="AX7" s="371"/>
      <c r="AY7" s="371"/>
      <c r="AZ7" s="370"/>
      <c r="BA7" s="370"/>
      <c r="BB7" s="371"/>
      <c r="BC7" s="371"/>
      <c r="BD7" s="370"/>
      <c r="BE7" s="370"/>
      <c r="BF7" s="371"/>
      <c r="BG7" s="371"/>
      <c r="BH7" s="370"/>
      <c r="BI7" s="370"/>
      <c r="BJ7" s="371"/>
      <c r="BK7" s="371"/>
      <c r="BL7" s="370"/>
      <c r="BM7" s="370"/>
      <c r="BN7" s="371"/>
      <c r="BO7" s="371"/>
      <c r="BP7" s="370"/>
      <c r="BQ7" s="370"/>
      <c r="BR7" s="371"/>
      <c r="BS7" s="371"/>
      <c r="BT7" s="370"/>
      <c r="BU7" s="370"/>
      <c r="BV7" s="371"/>
      <c r="BW7" s="371"/>
      <c r="BX7" s="370"/>
      <c r="BY7" s="370"/>
      <c r="BZ7" s="371"/>
      <c r="CA7" s="371"/>
      <c r="CB7" s="370"/>
      <c r="CC7" s="370"/>
      <c r="CD7" s="371"/>
      <c r="CE7" s="371"/>
      <c r="CF7" s="370"/>
      <c r="CG7" s="370"/>
      <c r="CH7" s="371"/>
      <c r="CI7" s="371"/>
      <c r="CJ7" s="370"/>
      <c r="CK7" s="370"/>
      <c r="CL7" s="371"/>
      <c r="CM7" s="371"/>
      <c r="CN7" s="370"/>
      <c r="CO7" s="370"/>
      <c r="CP7" s="371"/>
      <c r="CQ7" s="371"/>
      <c r="CR7" s="370"/>
      <c r="CS7" s="370"/>
      <c r="CT7" s="371"/>
      <c r="CU7" s="371"/>
      <c r="CV7" s="370"/>
      <c r="CW7" s="370"/>
      <c r="CX7" s="371"/>
      <c r="CY7" s="371"/>
      <c r="CZ7" s="370"/>
      <c r="DA7" s="370"/>
      <c r="DB7" s="371"/>
      <c r="DC7" s="371"/>
      <c r="DD7" s="370"/>
      <c r="DE7" s="370"/>
      <c r="DF7" s="371"/>
      <c r="DG7" s="371"/>
      <c r="DH7" s="370"/>
      <c r="DI7" s="370"/>
      <c r="DJ7" s="371"/>
      <c r="DK7" s="371"/>
      <c r="DL7" s="370"/>
      <c r="DM7" s="370"/>
      <c r="DN7" s="371"/>
      <c r="DO7" s="371"/>
      <c r="DP7" s="370"/>
      <c r="DQ7" s="370"/>
      <c r="DR7" s="371"/>
      <c r="DS7" s="371"/>
      <c r="DT7" s="370"/>
      <c r="DU7" s="370"/>
      <c r="DV7" s="371"/>
      <c r="DW7" s="371"/>
      <c r="DX7" s="370"/>
      <c r="DY7" s="370"/>
      <c r="DZ7" s="371"/>
      <c r="EA7" s="371"/>
      <c r="EB7" s="370"/>
      <c r="EC7" s="370"/>
      <c r="ED7" s="371"/>
      <c r="EE7" s="371"/>
      <c r="EF7" s="370"/>
      <c r="EG7" s="370"/>
      <c r="EH7" s="371"/>
      <c r="EI7" s="371"/>
      <c r="EJ7" s="370"/>
      <c r="EK7" s="370"/>
      <c r="EL7" s="371"/>
      <c r="EM7" s="371"/>
      <c r="EN7" s="370"/>
      <c r="EO7" s="370"/>
      <c r="EP7" s="371"/>
      <c r="EQ7" s="371"/>
      <c r="ER7" s="370"/>
      <c r="ES7" s="370"/>
      <c r="ET7" s="371"/>
      <c r="EU7" s="371"/>
      <c r="EV7" s="370"/>
      <c r="EW7" s="370"/>
      <c r="EX7" s="371"/>
      <c r="EY7" s="371"/>
      <c r="EZ7" s="370"/>
      <c r="FA7" s="370"/>
      <c r="FB7" s="371"/>
      <c r="FC7" s="371"/>
      <c r="FD7" s="370"/>
      <c r="FE7" s="370"/>
      <c r="FF7" s="371"/>
      <c r="FG7" s="371"/>
      <c r="FH7" s="370"/>
      <c r="FI7" s="370"/>
      <c r="FJ7" s="371"/>
      <c r="FK7" s="371"/>
      <c r="FL7" s="370"/>
      <c r="FM7" s="370"/>
      <c r="FN7" s="371"/>
      <c r="FO7" s="371"/>
      <c r="FP7" s="370"/>
      <c r="FQ7" s="370"/>
      <c r="FR7" s="371"/>
      <c r="FS7" s="371"/>
      <c r="FT7" s="370"/>
      <c r="FU7" s="370"/>
      <c r="FV7" s="371"/>
      <c r="FW7" s="371"/>
      <c r="FX7" s="370"/>
      <c r="FY7" s="370"/>
      <c r="FZ7" s="371"/>
      <c r="GA7" s="371"/>
      <c r="GB7" s="370"/>
      <c r="GC7" s="370"/>
      <c r="GD7" s="371"/>
      <c r="GE7" s="371"/>
      <c r="GF7" s="370"/>
      <c r="GG7" s="370"/>
      <c r="GH7" s="371"/>
      <c r="GI7" s="371"/>
      <c r="GJ7" s="370"/>
      <c r="GK7" s="370"/>
      <c r="GL7" s="371"/>
      <c r="GM7" s="371"/>
      <c r="GN7" s="370"/>
      <c r="GO7" s="370"/>
      <c r="GP7" s="371"/>
      <c r="GQ7" s="371"/>
      <c r="GR7" s="370"/>
      <c r="GS7" s="370"/>
    </row>
    <row r="8">
      <c r="A8" s="365" t="s">
        <v>161</v>
      </c>
      <c r="B8" s="365"/>
      <c r="C8" s="365"/>
      <c r="D8" s="365"/>
      <c r="E8" s="365"/>
      <c r="F8" s="365"/>
      <c r="G8" s="365"/>
      <c r="H8" s="365"/>
      <c r="I8" s="365"/>
      <c r="J8" s="365"/>
      <c r="K8" s="365"/>
      <c r="L8" s="365"/>
      <c r="M8" s="365"/>
      <c r="N8" s="365"/>
      <c r="O8" s="365"/>
      <c r="P8" s="365"/>
      <c r="Q8" s="365"/>
      <c r="R8" s="365"/>
      <c r="S8" s="365"/>
      <c r="T8" s="365"/>
      <c r="U8" s="365"/>
      <c r="V8" s="365"/>
      <c r="W8" s="365"/>
      <c r="X8" s="365"/>
      <c r="Y8" s="365"/>
      <c r="Z8" s="365"/>
      <c r="AA8" s="365"/>
      <c r="AB8" s="365"/>
      <c r="AC8" s="365"/>
      <c r="AD8" s="365"/>
      <c r="AE8" s="365"/>
      <c r="AF8" s="365"/>
      <c r="AG8" s="365"/>
      <c r="AH8" s="365"/>
      <c r="AI8" s="365"/>
      <c r="AJ8" s="365"/>
      <c r="AK8" s="365"/>
      <c r="AL8" s="365"/>
      <c r="AM8" s="365"/>
      <c r="AN8" s="365"/>
      <c r="AO8" s="365"/>
      <c r="AP8" s="365"/>
      <c r="AQ8" s="365"/>
      <c r="AR8" s="365"/>
      <c r="AS8" s="365"/>
      <c r="AT8" s="365"/>
      <c r="AU8" s="365"/>
      <c r="AV8" s="365"/>
      <c r="AW8" s="365"/>
      <c r="AX8" s="365"/>
      <c r="AY8" s="365"/>
      <c r="AZ8" s="365"/>
      <c r="BA8" s="365"/>
      <c r="BB8" s="365"/>
      <c r="BC8" s="365"/>
      <c r="BD8" s="365"/>
      <c r="BE8" s="365"/>
      <c r="BF8" s="365"/>
      <c r="BG8" s="365"/>
      <c r="BH8" s="365"/>
      <c r="BI8" s="365"/>
      <c r="BJ8" s="365"/>
      <c r="BK8" s="365"/>
      <c r="BL8" s="365"/>
      <c r="BM8" s="365"/>
      <c r="BN8" s="365"/>
      <c r="BO8" s="365"/>
      <c r="BP8" s="365"/>
      <c r="BQ8" s="365"/>
      <c r="BR8" s="365"/>
      <c r="BS8" s="365"/>
      <c r="BT8" s="365"/>
      <c r="BU8" s="365"/>
      <c r="BV8" s="365"/>
      <c r="BW8" s="365"/>
      <c r="BX8" s="365"/>
      <c r="BY8" s="365"/>
      <c r="BZ8" s="365"/>
      <c r="CA8" s="365"/>
      <c r="CB8" s="365"/>
      <c r="CC8" s="365"/>
      <c r="CD8" s="365"/>
      <c r="CE8" s="365"/>
      <c r="CF8" s="365"/>
      <c r="CG8" s="365"/>
      <c r="CH8" s="365"/>
      <c r="CI8" s="365"/>
      <c r="CJ8" s="365"/>
      <c r="CK8" s="365"/>
      <c r="CL8" s="365"/>
      <c r="CM8" s="365"/>
      <c r="CN8" s="365"/>
      <c r="CO8" s="365"/>
      <c r="CP8" s="365"/>
      <c r="CQ8" s="365"/>
      <c r="CR8" s="365"/>
      <c r="CS8" s="365"/>
      <c r="CT8" s="365"/>
      <c r="CU8" s="365"/>
      <c r="CV8" s="365"/>
      <c r="CW8" s="365"/>
      <c r="CX8" s="365"/>
      <c r="CY8" s="365"/>
      <c r="CZ8" s="365"/>
      <c r="DA8" s="365"/>
      <c r="DB8" s="365"/>
      <c r="DC8" s="365"/>
      <c r="DD8" s="365"/>
      <c r="DE8" s="365"/>
      <c r="DF8" s="365"/>
      <c r="DG8" s="365"/>
      <c r="DH8" s="365"/>
      <c r="DI8" s="365"/>
      <c r="DJ8" s="365"/>
      <c r="DK8" s="365"/>
      <c r="DL8" s="365"/>
      <c r="DM8" s="365"/>
      <c r="DN8" s="365"/>
      <c r="DO8" s="365"/>
      <c r="DP8" s="365"/>
      <c r="DQ8" s="365"/>
      <c r="DR8" s="365"/>
      <c r="DS8" s="365"/>
      <c r="DT8" s="365"/>
      <c r="DU8" s="365"/>
      <c r="DV8" s="365"/>
      <c r="DW8" s="365"/>
      <c r="DX8" s="365"/>
      <c r="DY8" s="365"/>
      <c r="DZ8" s="365"/>
      <c r="EA8" s="365"/>
      <c r="EB8" s="365"/>
      <c r="EC8" s="365"/>
      <c r="ED8" s="365"/>
      <c r="EE8" s="365"/>
      <c r="EF8" s="365"/>
      <c r="EG8" s="365"/>
      <c r="EH8" s="365"/>
      <c r="EI8" s="365"/>
      <c r="EJ8" s="365"/>
      <c r="EK8" s="365"/>
      <c r="EL8" s="365"/>
      <c r="EM8" s="365"/>
      <c r="EN8" s="365"/>
      <c r="EO8" s="365"/>
      <c r="EP8" s="365"/>
      <c r="EQ8" s="365"/>
      <c r="ER8" s="365"/>
      <c r="ES8" s="365"/>
      <c r="ET8" s="365"/>
      <c r="EU8" s="365"/>
      <c r="EV8" s="365"/>
      <c r="EW8" s="365"/>
      <c r="EX8" s="365"/>
      <c r="EY8" s="365"/>
      <c r="EZ8" s="365"/>
      <c r="FA8" s="365"/>
      <c r="FB8" s="365"/>
      <c r="FC8" s="365"/>
      <c r="FD8" s="365"/>
      <c r="FE8" s="365"/>
      <c r="FF8" s="365"/>
      <c r="FG8" s="365"/>
      <c r="FH8" s="365"/>
      <c r="FI8" s="365"/>
      <c r="FJ8" s="365"/>
      <c r="FK8" s="365"/>
      <c r="FL8" s="365"/>
      <c r="FM8" s="365"/>
      <c r="FN8" s="365"/>
      <c r="FO8" s="365"/>
      <c r="FP8" s="365"/>
      <c r="FQ8" s="365"/>
      <c r="FR8" s="365"/>
      <c r="FS8" s="365"/>
      <c r="FT8" s="365"/>
      <c r="FU8" s="365"/>
      <c r="FV8" s="365"/>
      <c r="FW8" s="365"/>
      <c r="FX8" s="365"/>
      <c r="FY8" s="365"/>
      <c r="FZ8" s="365"/>
      <c r="GA8" s="365"/>
      <c r="GB8" s="365"/>
      <c r="GC8" s="365"/>
      <c r="GD8" s="365"/>
      <c r="GE8" s="365"/>
      <c r="GF8" s="365"/>
      <c r="GG8" s="365"/>
      <c r="GH8" s="365"/>
      <c r="GI8" s="365"/>
      <c r="GJ8" s="365"/>
      <c r="GK8" s="365"/>
      <c r="GL8" s="365"/>
      <c r="GM8" s="365"/>
      <c r="GN8" s="365"/>
      <c r="GO8" s="365"/>
      <c r="GP8" s="365"/>
      <c r="GQ8" s="365"/>
      <c r="GR8" s="365"/>
      <c r="GS8" s="365"/>
    </row>
    <row r="9">
      <c r="A9" s="380" t="s">
        <v>201</v>
      </c>
      <c r="B9" s="371"/>
      <c r="C9" s="371"/>
      <c r="D9" s="370"/>
      <c r="E9" s="370"/>
      <c r="F9" s="371"/>
      <c r="G9" s="371"/>
      <c r="H9" s="370"/>
      <c r="I9" s="370"/>
      <c r="J9" s="371"/>
      <c r="K9" s="371"/>
      <c r="L9" s="370"/>
      <c r="M9" s="370"/>
      <c r="N9" s="371"/>
      <c r="O9" s="371"/>
      <c r="P9" s="370"/>
      <c r="Q9" s="370"/>
      <c r="R9" s="371"/>
      <c r="S9" s="371"/>
      <c r="T9" s="370"/>
      <c r="U9" s="370"/>
      <c r="V9" s="371"/>
      <c r="W9" s="371"/>
      <c r="X9" s="370"/>
      <c r="Y9" s="370"/>
      <c r="Z9" s="371"/>
      <c r="AA9" s="371"/>
      <c r="AB9" s="370"/>
      <c r="AC9" s="370"/>
      <c r="AD9" s="371"/>
      <c r="AE9" s="371"/>
      <c r="AF9" s="370"/>
      <c r="AG9" s="370"/>
      <c r="AH9" s="371"/>
      <c r="AI9" s="371"/>
      <c r="AJ9" s="370"/>
      <c r="AK9" s="370"/>
      <c r="AL9" s="371"/>
      <c r="AM9" s="371"/>
      <c r="AN9" s="370"/>
      <c r="AO9" s="370"/>
      <c r="AP9" s="371"/>
      <c r="AQ9" s="371"/>
      <c r="AR9" s="370"/>
      <c r="AS9" s="370"/>
      <c r="AT9" s="371"/>
      <c r="AU9" s="371"/>
      <c r="AV9" s="370"/>
      <c r="AW9" s="370"/>
      <c r="AX9" s="371"/>
      <c r="AY9" s="371"/>
      <c r="AZ9" s="370"/>
      <c r="BA9" s="370"/>
      <c r="BB9" s="371"/>
      <c r="BC9" s="371"/>
      <c r="BD9" s="370"/>
      <c r="BE9" s="370"/>
      <c r="BF9" s="371"/>
      <c r="BG9" s="371"/>
      <c r="BH9" s="370"/>
      <c r="BI9" s="370"/>
      <c r="BJ9" s="371"/>
      <c r="BK9" s="371"/>
      <c r="BL9" s="370"/>
      <c r="BM9" s="370"/>
      <c r="BN9" s="371"/>
      <c r="BO9" s="371"/>
      <c r="BP9" s="370"/>
      <c r="BQ9" s="370"/>
      <c r="BR9" s="371"/>
      <c r="BS9" s="371"/>
      <c r="BT9" s="370"/>
      <c r="BU9" s="370"/>
      <c r="BV9" s="371"/>
      <c r="BW9" s="371"/>
      <c r="BX9" s="370"/>
      <c r="BY9" s="370"/>
      <c r="BZ9" s="371"/>
      <c r="CA9" s="371"/>
      <c r="CB9" s="370"/>
      <c r="CC9" s="370"/>
      <c r="CD9" s="371"/>
      <c r="CE9" s="371"/>
      <c r="CF9" s="370"/>
      <c r="CG9" s="370"/>
      <c r="CH9" s="371"/>
      <c r="CI9" s="371"/>
      <c r="CJ9" s="370"/>
      <c r="CK9" s="370"/>
      <c r="CL9" s="371"/>
      <c r="CM9" s="371"/>
      <c r="CN9" s="370"/>
      <c r="CO9" s="370"/>
      <c r="CP9" s="371"/>
      <c r="CQ9" s="371"/>
      <c r="CR9" s="370"/>
      <c r="CS9" s="370"/>
      <c r="CT9" s="371"/>
      <c r="CU9" s="371"/>
      <c r="CV9" s="370"/>
      <c r="CW9" s="370"/>
      <c r="CX9" s="371"/>
      <c r="CY9" s="371"/>
      <c r="CZ9" s="370"/>
      <c r="DA9" s="370"/>
      <c r="DB9" s="371"/>
      <c r="DC9" s="371"/>
      <c r="DD9" s="370"/>
      <c r="DE9" s="370"/>
      <c r="DF9" s="371"/>
      <c r="DG9" s="371"/>
      <c r="DH9" s="370"/>
      <c r="DI9" s="370"/>
      <c r="DJ9" s="371"/>
      <c r="DK9" s="371"/>
      <c r="DL9" s="370"/>
      <c r="DM9" s="370"/>
      <c r="DN9" s="371"/>
      <c r="DO9" s="371"/>
      <c r="DP9" s="370"/>
      <c r="DQ9" s="370"/>
      <c r="DR9" s="371"/>
      <c r="DS9" s="371"/>
      <c r="DT9" s="370"/>
      <c r="DU9" s="370"/>
      <c r="DV9" s="371"/>
      <c r="DW9" s="371"/>
      <c r="DX9" s="370"/>
      <c r="DY9" s="370"/>
      <c r="DZ9" s="371"/>
      <c r="EA9" s="371"/>
      <c r="EB9" s="370"/>
      <c r="EC9" s="370"/>
      <c r="ED9" s="371"/>
      <c r="EE9" s="371"/>
      <c r="EF9" s="370"/>
      <c r="EG9" s="370"/>
      <c r="EH9" s="371"/>
      <c r="EI9" s="371"/>
      <c r="EJ9" s="370"/>
      <c r="EK9" s="370"/>
      <c r="EL9" s="371"/>
      <c r="EM9" s="371"/>
      <c r="EN9" s="370"/>
      <c r="EO9" s="370"/>
      <c r="EP9" s="371"/>
      <c r="EQ9" s="371"/>
      <c r="ER9" s="370"/>
      <c r="ES9" s="370"/>
      <c r="ET9" s="371"/>
      <c r="EU9" s="371"/>
      <c r="EV9" s="370"/>
      <c r="EW9" s="370"/>
      <c r="EX9" s="371"/>
      <c r="EY9" s="371"/>
      <c r="EZ9" s="370"/>
      <c r="FA9" s="370"/>
      <c r="FB9" s="371"/>
      <c r="FC9" s="371"/>
      <c r="FD9" s="370"/>
      <c r="FE9" s="370"/>
      <c r="FF9" s="371"/>
      <c r="FG9" s="371"/>
      <c r="FH9" s="370"/>
      <c r="FI9" s="370"/>
      <c r="FJ9" s="371"/>
      <c r="FK9" s="371"/>
      <c r="FL9" s="370"/>
      <c r="FM9" s="370"/>
      <c r="FN9" s="371"/>
      <c r="FO9" s="371"/>
      <c r="FP9" s="370"/>
      <c r="FQ9" s="370"/>
      <c r="FR9" s="371"/>
      <c r="FS9" s="371"/>
      <c r="FT9" s="370"/>
      <c r="FU9" s="370"/>
      <c r="FV9" s="371"/>
      <c r="FW9" s="371"/>
      <c r="FX9" s="370"/>
      <c r="FY9" s="370"/>
      <c r="FZ9" s="371"/>
      <c r="GA9" s="371"/>
      <c r="GB9" s="370"/>
      <c r="GC9" s="370"/>
      <c r="GD9" s="371"/>
      <c r="GE9" s="371"/>
      <c r="GF9" s="370"/>
      <c r="GG9" s="370"/>
      <c r="GH9" s="371"/>
      <c r="GI9" s="371"/>
      <c r="GJ9" s="370"/>
      <c r="GK9" s="370"/>
      <c r="GL9" s="371"/>
      <c r="GM9" s="371"/>
      <c r="GN9" s="370"/>
      <c r="GO9" s="370"/>
      <c r="GP9" s="371"/>
      <c r="GQ9" s="371"/>
      <c r="GR9" s="370"/>
      <c r="GS9" s="370"/>
    </row>
    <row r="10">
      <c r="A10" s="380" t="s">
        <v>202</v>
      </c>
      <c r="B10" s="371"/>
      <c r="C10" s="371"/>
      <c r="D10" s="370"/>
      <c r="E10" s="370"/>
      <c r="F10" s="371"/>
      <c r="G10" s="371"/>
      <c r="H10" s="370"/>
      <c r="I10" s="370"/>
      <c r="J10" s="371"/>
      <c r="K10" s="371"/>
      <c r="L10" s="370"/>
      <c r="M10" s="370"/>
      <c r="N10" s="371"/>
      <c r="O10" s="371"/>
      <c r="P10" s="370"/>
      <c r="Q10" s="370"/>
      <c r="R10" s="371"/>
      <c r="S10" s="371"/>
      <c r="T10" s="370"/>
      <c r="U10" s="370"/>
      <c r="V10" s="371"/>
      <c r="W10" s="371"/>
      <c r="X10" s="370"/>
      <c r="Y10" s="370"/>
      <c r="Z10" s="371"/>
      <c r="AA10" s="371"/>
      <c r="AB10" s="370"/>
      <c r="AC10" s="370"/>
      <c r="AD10" s="371"/>
      <c r="AE10" s="371"/>
      <c r="AF10" s="370"/>
      <c r="AG10" s="370"/>
      <c r="AH10" s="371"/>
      <c r="AI10" s="371"/>
      <c r="AJ10" s="370"/>
      <c r="AK10" s="370"/>
      <c r="AL10" s="371"/>
      <c r="AM10" s="371"/>
      <c r="AN10" s="370"/>
      <c r="AO10" s="370"/>
      <c r="AP10" s="371"/>
      <c r="AQ10" s="371"/>
      <c r="AR10" s="370"/>
      <c r="AS10" s="370"/>
      <c r="AT10" s="371"/>
      <c r="AU10" s="371"/>
      <c r="AV10" s="370"/>
      <c r="AW10" s="370"/>
      <c r="AX10" s="371"/>
      <c r="AY10" s="371"/>
      <c r="AZ10" s="370"/>
      <c r="BA10" s="370"/>
      <c r="BB10" s="371"/>
      <c r="BC10" s="371"/>
      <c r="BD10" s="370"/>
      <c r="BE10" s="370"/>
      <c r="BF10" s="371"/>
      <c r="BG10" s="371"/>
      <c r="BH10" s="370"/>
      <c r="BI10" s="370"/>
      <c r="BJ10" s="371"/>
      <c r="BK10" s="371"/>
      <c r="BL10" s="370"/>
      <c r="BM10" s="370"/>
      <c r="BN10" s="371"/>
      <c r="BO10" s="371"/>
      <c r="BP10" s="370"/>
      <c r="BQ10" s="370"/>
      <c r="BR10" s="371"/>
      <c r="BS10" s="371"/>
      <c r="BT10" s="370"/>
      <c r="BU10" s="370"/>
      <c r="BV10" s="371"/>
      <c r="BW10" s="371"/>
      <c r="BX10" s="370"/>
      <c r="BY10" s="370"/>
      <c r="BZ10" s="371"/>
      <c r="CA10" s="371"/>
      <c r="CB10" s="370"/>
      <c r="CC10" s="370"/>
      <c r="CD10" s="371"/>
      <c r="CE10" s="371"/>
      <c r="CF10" s="370"/>
      <c r="CG10" s="370"/>
      <c r="CH10" s="371"/>
      <c r="CI10" s="371"/>
      <c r="CJ10" s="370"/>
      <c r="CK10" s="370"/>
      <c r="CL10" s="371"/>
      <c r="CM10" s="371"/>
      <c r="CN10" s="370"/>
      <c r="CO10" s="370"/>
      <c r="CP10" s="371"/>
      <c r="CQ10" s="371"/>
      <c r="CR10" s="370"/>
      <c r="CS10" s="370"/>
      <c r="CT10" s="371"/>
      <c r="CU10" s="371"/>
      <c r="CV10" s="370"/>
      <c r="CW10" s="370"/>
      <c r="CX10" s="371"/>
      <c r="CY10" s="371"/>
      <c r="CZ10" s="370"/>
      <c r="DA10" s="370"/>
      <c r="DB10" s="371"/>
      <c r="DC10" s="371"/>
      <c r="DD10" s="370"/>
      <c r="DE10" s="370"/>
      <c r="DF10" s="371"/>
      <c r="DG10" s="371"/>
      <c r="DH10" s="370"/>
      <c r="DI10" s="370"/>
      <c r="DJ10" s="371"/>
      <c r="DK10" s="371"/>
      <c r="DL10" s="370"/>
      <c r="DM10" s="370"/>
      <c r="DN10" s="371"/>
      <c r="DO10" s="371"/>
      <c r="DP10" s="370"/>
      <c r="DQ10" s="370"/>
      <c r="DR10" s="371"/>
      <c r="DS10" s="371"/>
      <c r="DT10" s="370"/>
      <c r="DU10" s="370"/>
      <c r="DV10" s="371"/>
      <c r="DW10" s="371"/>
      <c r="DX10" s="370"/>
      <c r="DY10" s="370"/>
      <c r="DZ10" s="371"/>
      <c r="EA10" s="371"/>
      <c r="EB10" s="370"/>
      <c r="EC10" s="370"/>
      <c r="ED10" s="371"/>
      <c r="EE10" s="371"/>
      <c r="EF10" s="370"/>
      <c r="EG10" s="370"/>
      <c r="EH10" s="371"/>
      <c r="EI10" s="371"/>
      <c r="EJ10" s="370"/>
      <c r="EK10" s="370"/>
      <c r="EL10" s="371"/>
      <c r="EM10" s="371"/>
      <c r="EN10" s="370"/>
      <c r="EO10" s="370"/>
      <c r="EP10" s="371"/>
      <c r="EQ10" s="371"/>
      <c r="ER10" s="370"/>
      <c r="ES10" s="370"/>
      <c r="ET10" s="371"/>
      <c r="EU10" s="371"/>
      <c r="EV10" s="370"/>
      <c r="EW10" s="370"/>
      <c r="EX10" s="371"/>
      <c r="EY10" s="371"/>
      <c r="EZ10" s="370"/>
      <c r="FA10" s="370"/>
      <c r="FB10" s="371"/>
      <c r="FC10" s="371"/>
      <c r="FD10" s="370"/>
      <c r="FE10" s="370"/>
      <c r="FF10" s="371"/>
      <c r="FG10" s="371"/>
      <c r="FH10" s="370"/>
      <c r="FI10" s="370"/>
      <c r="FJ10" s="371"/>
      <c r="FK10" s="371"/>
      <c r="FL10" s="370"/>
      <c r="FM10" s="370"/>
      <c r="FN10" s="371"/>
      <c r="FO10" s="371"/>
      <c r="FP10" s="370"/>
      <c r="FQ10" s="370"/>
      <c r="FR10" s="371"/>
      <c r="FS10" s="371"/>
      <c r="FT10" s="370"/>
      <c r="FU10" s="370"/>
      <c r="FV10" s="371"/>
      <c r="FW10" s="371"/>
      <c r="FX10" s="370"/>
      <c r="FY10" s="370"/>
      <c r="FZ10" s="371"/>
      <c r="GA10" s="371"/>
      <c r="GB10" s="370"/>
      <c r="GC10" s="370"/>
      <c r="GD10" s="371"/>
      <c r="GE10" s="371"/>
      <c r="GF10" s="370"/>
      <c r="GG10" s="370"/>
      <c r="GH10" s="371"/>
      <c r="GI10" s="371"/>
      <c r="GJ10" s="370"/>
      <c r="GK10" s="370"/>
      <c r="GL10" s="371"/>
      <c r="GM10" s="371"/>
      <c r="GN10" s="370"/>
      <c r="GO10" s="370"/>
      <c r="GP10" s="371"/>
      <c r="GQ10" s="371"/>
      <c r="GR10" s="370"/>
      <c r="GS10" s="370"/>
    </row>
    <row r="11">
      <c r="A11" s="380" t="s">
        <v>203</v>
      </c>
      <c r="B11" s="371"/>
      <c r="C11" s="371"/>
      <c r="D11" s="370"/>
      <c r="E11" s="370"/>
      <c r="F11" s="371"/>
      <c r="G11" s="371"/>
      <c r="H11" s="370"/>
      <c r="I11" s="370"/>
      <c r="J11" s="371"/>
      <c r="K11" s="371"/>
      <c r="L11" s="370"/>
      <c r="M11" s="370"/>
      <c r="N11" s="371"/>
      <c r="O11" s="371"/>
      <c r="P11" s="370"/>
      <c r="Q11" s="370"/>
      <c r="R11" s="371"/>
      <c r="S11" s="371"/>
      <c r="T11" s="370"/>
      <c r="U11" s="370"/>
      <c r="V11" s="371"/>
      <c r="W11" s="371"/>
      <c r="X11" s="370"/>
      <c r="Y11" s="370"/>
      <c r="Z11" s="371"/>
      <c r="AA11" s="371"/>
      <c r="AB11" s="370"/>
      <c r="AC11" s="370"/>
      <c r="AD11" s="371"/>
      <c r="AE11" s="371"/>
      <c r="AF11" s="370"/>
      <c r="AG11" s="370"/>
      <c r="AH11" s="371"/>
      <c r="AI11" s="371"/>
      <c r="AJ11" s="370"/>
      <c r="AK11" s="370"/>
      <c r="AL11" s="371"/>
      <c r="AM11" s="371"/>
      <c r="AN11" s="370"/>
      <c r="AO11" s="370"/>
      <c r="AP11" s="371"/>
      <c r="AQ11" s="371"/>
      <c r="AR11" s="370"/>
      <c r="AS11" s="370"/>
      <c r="AT11" s="371"/>
      <c r="AU11" s="371"/>
      <c r="AV11" s="370"/>
      <c r="AW11" s="370"/>
      <c r="AX11" s="371"/>
      <c r="AY11" s="371"/>
      <c r="AZ11" s="370"/>
      <c r="BA11" s="370"/>
      <c r="BB11" s="371"/>
      <c r="BC11" s="371"/>
      <c r="BD11" s="370"/>
      <c r="BE11" s="370"/>
      <c r="BF11" s="371"/>
      <c r="BG11" s="371"/>
      <c r="BH11" s="370"/>
      <c r="BI11" s="370"/>
      <c r="BJ11" s="371"/>
      <c r="BK11" s="371"/>
      <c r="BL11" s="370"/>
      <c r="BM11" s="370"/>
      <c r="BN11" s="371"/>
      <c r="BO11" s="371"/>
      <c r="BP11" s="370"/>
      <c r="BQ11" s="370"/>
      <c r="BR11" s="371"/>
      <c r="BS11" s="371"/>
      <c r="BT11" s="370"/>
      <c r="BU11" s="370"/>
      <c r="BV11" s="371"/>
      <c r="BW11" s="371"/>
      <c r="BX11" s="370"/>
      <c r="BY11" s="370"/>
      <c r="BZ11" s="371"/>
      <c r="CA11" s="371"/>
      <c r="CB11" s="370"/>
      <c r="CC11" s="370"/>
      <c r="CD11" s="371"/>
      <c r="CE11" s="371"/>
      <c r="CF11" s="370"/>
      <c r="CG11" s="370"/>
      <c r="CH11" s="371"/>
      <c r="CI11" s="371"/>
      <c r="CJ11" s="370"/>
      <c r="CK11" s="370"/>
      <c r="CL11" s="371"/>
      <c r="CM11" s="371"/>
      <c r="CN11" s="370"/>
      <c r="CO11" s="370"/>
      <c r="CP11" s="371"/>
      <c r="CQ11" s="371"/>
      <c r="CR11" s="370"/>
      <c r="CS11" s="370"/>
      <c r="CT11" s="371"/>
      <c r="CU11" s="371"/>
      <c r="CV11" s="370"/>
      <c r="CW11" s="370"/>
      <c r="CX11" s="371"/>
      <c r="CY11" s="371"/>
      <c r="CZ11" s="370"/>
      <c r="DA11" s="370"/>
      <c r="DB11" s="371"/>
      <c r="DC11" s="371"/>
      <c r="DD11" s="370"/>
      <c r="DE11" s="370"/>
      <c r="DF11" s="371"/>
      <c r="DG11" s="371"/>
      <c r="DH11" s="370"/>
      <c r="DI11" s="370"/>
      <c r="DJ11" s="371"/>
      <c r="DK11" s="371"/>
      <c r="DL11" s="370"/>
      <c r="DM11" s="370"/>
      <c r="DN11" s="371"/>
      <c r="DO11" s="371"/>
      <c r="DP11" s="370"/>
      <c r="DQ11" s="370"/>
      <c r="DR11" s="371"/>
      <c r="DS11" s="371"/>
      <c r="DT11" s="370"/>
      <c r="DU11" s="370"/>
      <c r="DV11" s="371"/>
      <c r="DW11" s="371"/>
      <c r="DX11" s="370"/>
      <c r="DY11" s="370"/>
      <c r="DZ11" s="371"/>
      <c r="EA11" s="371"/>
      <c r="EB11" s="370"/>
      <c r="EC11" s="370"/>
      <c r="ED11" s="371"/>
      <c r="EE11" s="371"/>
      <c r="EF11" s="370"/>
      <c r="EG11" s="370"/>
      <c r="EH11" s="371"/>
      <c r="EI11" s="371"/>
      <c r="EJ11" s="370"/>
      <c r="EK11" s="370"/>
      <c r="EL11" s="371"/>
      <c r="EM11" s="371"/>
      <c r="EN11" s="370"/>
      <c r="EO11" s="370"/>
      <c r="EP11" s="371"/>
      <c r="EQ11" s="371"/>
      <c r="ER11" s="370"/>
      <c r="ES11" s="370"/>
      <c r="ET11" s="371"/>
      <c r="EU11" s="371"/>
      <c r="EV11" s="370"/>
      <c r="EW11" s="370"/>
      <c r="EX11" s="371"/>
      <c r="EY11" s="371"/>
      <c r="EZ11" s="370"/>
      <c r="FA11" s="370"/>
      <c r="FB11" s="371"/>
      <c r="FC11" s="371"/>
      <c r="FD11" s="370"/>
      <c r="FE11" s="370"/>
      <c r="FF11" s="371"/>
      <c r="FG11" s="371"/>
      <c r="FH11" s="370"/>
      <c r="FI11" s="370"/>
      <c r="FJ11" s="371"/>
      <c r="FK11" s="371"/>
      <c r="FL11" s="370"/>
      <c r="FM11" s="370"/>
      <c r="FN11" s="371"/>
      <c r="FO11" s="371"/>
      <c r="FP11" s="370"/>
      <c r="FQ11" s="370"/>
      <c r="FR11" s="371"/>
      <c r="FS11" s="371"/>
      <c r="FT11" s="370"/>
      <c r="FU11" s="370"/>
      <c r="FV11" s="371"/>
      <c r="FW11" s="371"/>
      <c r="FX11" s="370"/>
      <c r="FY11" s="370"/>
      <c r="FZ11" s="371"/>
      <c r="GA11" s="371"/>
      <c r="GB11" s="370"/>
      <c r="GC11" s="370"/>
      <c r="GD11" s="371"/>
      <c r="GE11" s="371"/>
      <c r="GF11" s="370"/>
      <c r="GG11" s="370"/>
      <c r="GH11" s="371"/>
      <c r="GI11" s="371"/>
      <c r="GJ11" s="370"/>
      <c r="GK11" s="370"/>
      <c r="GL11" s="371"/>
      <c r="GM11" s="371"/>
      <c r="GN11" s="370"/>
      <c r="GO11" s="370"/>
      <c r="GP11" s="371"/>
      <c r="GQ11" s="371"/>
      <c r="GR11" s="370"/>
      <c r="GS11" s="370"/>
    </row>
    <row r="12">
      <c r="A12" s="365" t="s">
        <v>204</v>
      </c>
      <c r="B12" s="365"/>
      <c r="C12" s="365"/>
      <c r="D12" s="365"/>
      <c r="E12" s="365"/>
      <c r="F12" s="365"/>
      <c r="G12" s="365"/>
      <c r="H12" s="365"/>
      <c r="I12" s="365"/>
      <c r="J12" s="365"/>
      <c r="K12" s="365"/>
      <c r="L12" s="365"/>
      <c r="M12" s="365"/>
      <c r="N12" s="365"/>
      <c r="O12" s="365"/>
      <c r="P12" s="365"/>
      <c r="Q12" s="365"/>
      <c r="R12" s="365"/>
      <c r="S12" s="365"/>
      <c r="T12" s="365"/>
      <c r="U12" s="365"/>
      <c r="V12" s="365"/>
      <c r="W12" s="365"/>
      <c r="X12" s="365"/>
      <c r="Y12" s="365"/>
      <c r="Z12" s="365"/>
      <c r="AA12" s="365"/>
      <c r="AB12" s="365"/>
      <c r="AC12" s="365"/>
      <c r="AD12" s="365"/>
      <c r="AE12" s="365"/>
      <c r="AF12" s="365"/>
      <c r="AG12" s="365"/>
      <c r="AH12" s="365"/>
      <c r="AI12" s="365"/>
      <c r="AJ12" s="365"/>
      <c r="AK12" s="365"/>
      <c r="AL12" s="365"/>
      <c r="AM12" s="365"/>
      <c r="AN12" s="365"/>
      <c r="AO12" s="365"/>
      <c r="AP12" s="365"/>
      <c r="AQ12" s="365"/>
      <c r="AR12" s="365"/>
      <c r="AS12" s="365"/>
      <c r="AT12" s="365"/>
      <c r="AU12" s="365"/>
      <c r="AV12" s="365"/>
      <c r="AW12" s="365"/>
      <c r="AX12" s="365"/>
      <c r="AY12" s="365"/>
      <c r="AZ12" s="365"/>
      <c r="BA12" s="365"/>
      <c r="BB12" s="365"/>
      <c r="BC12" s="365"/>
      <c r="BD12" s="365"/>
      <c r="BE12" s="365"/>
      <c r="BF12" s="365"/>
      <c r="BG12" s="365"/>
      <c r="BH12" s="365"/>
      <c r="BI12" s="365"/>
      <c r="BJ12" s="365"/>
      <c r="BK12" s="365"/>
      <c r="BL12" s="365"/>
      <c r="BM12" s="365"/>
      <c r="BN12" s="365"/>
      <c r="BO12" s="365"/>
      <c r="BP12" s="365"/>
      <c r="BQ12" s="365"/>
      <c r="BR12" s="365"/>
      <c r="BS12" s="365"/>
      <c r="BT12" s="365"/>
      <c r="BU12" s="365"/>
      <c r="BV12" s="365"/>
      <c r="BW12" s="365"/>
      <c r="BX12" s="365"/>
      <c r="BY12" s="365"/>
      <c r="BZ12" s="365"/>
      <c r="CA12" s="365"/>
      <c r="CB12" s="365"/>
      <c r="CC12" s="365"/>
      <c r="CD12" s="365"/>
      <c r="CE12" s="365"/>
      <c r="CF12" s="365"/>
      <c r="CG12" s="365"/>
      <c r="CH12" s="365"/>
      <c r="CI12" s="365"/>
      <c r="CJ12" s="365"/>
      <c r="CK12" s="365"/>
      <c r="CL12" s="365"/>
      <c r="CM12" s="365"/>
      <c r="CN12" s="365"/>
      <c r="CO12" s="365"/>
      <c r="CP12" s="365"/>
      <c r="CQ12" s="365"/>
      <c r="CR12" s="365"/>
      <c r="CS12" s="365"/>
      <c r="CT12" s="365"/>
      <c r="CU12" s="365"/>
      <c r="CV12" s="365"/>
      <c r="CW12" s="365"/>
      <c r="CX12" s="365"/>
      <c r="CY12" s="365"/>
      <c r="CZ12" s="365"/>
      <c r="DA12" s="365"/>
      <c r="DB12" s="365"/>
      <c r="DC12" s="365"/>
      <c r="DD12" s="365"/>
      <c r="DE12" s="365"/>
      <c r="DF12" s="365"/>
      <c r="DG12" s="365"/>
      <c r="DH12" s="365"/>
      <c r="DI12" s="365"/>
      <c r="DJ12" s="365"/>
      <c r="DK12" s="365"/>
      <c r="DL12" s="365"/>
      <c r="DM12" s="365"/>
      <c r="DN12" s="365"/>
      <c r="DO12" s="365"/>
      <c r="DP12" s="365"/>
      <c r="DQ12" s="365"/>
      <c r="DR12" s="365"/>
      <c r="DS12" s="365"/>
      <c r="DT12" s="365"/>
      <c r="DU12" s="365"/>
      <c r="DV12" s="365"/>
      <c r="DW12" s="365"/>
      <c r="DX12" s="365"/>
      <c r="DY12" s="365"/>
      <c r="DZ12" s="365"/>
      <c r="EA12" s="365"/>
      <c r="EB12" s="365"/>
      <c r="EC12" s="365"/>
      <c r="ED12" s="365"/>
      <c r="EE12" s="365"/>
      <c r="EF12" s="365"/>
      <c r="EG12" s="365"/>
      <c r="EH12" s="365"/>
      <c r="EI12" s="365"/>
      <c r="EJ12" s="365"/>
      <c r="EK12" s="365"/>
      <c r="EL12" s="365"/>
      <c r="EM12" s="365"/>
      <c r="EN12" s="365"/>
      <c r="EO12" s="365"/>
      <c r="EP12" s="365"/>
      <c r="EQ12" s="365"/>
      <c r="ER12" s="365"/>
      <c r="ES12" s="365"/>
      <c r="ET12" s="365"/>
      <c r="EU12" s="365"/>
      <c r="EV12" s="365"/>
      <c r="EW12" s="365"/>
      <c r="EX12" s="365"/>
      <c r="EY12" s="365"/>
      <c r="EZ12" s="365"/>
      <c r="FA12" s="365"/>
      <c r="FB12" s="365"/>
      <c r="FC12" s="365"/>
      <c r="FD12" s="365"/>
      <c r="FE12" s="365"/>
      <c r="FF12" s="365"/>
      <c r="FG12" s="365"/>
      <c r="FH12" s="365"/>
      <c r="FI12" s="365"/>
      <c r="FJ12" s="365"/>
      <c r="FK12" s="365"/>
      <c r="FL12" s="365"/>
      <c r="FM12" s="365"/>
      <c r="FN12" s="365"/>
      <c r="FO12" s="365"/>
      <c r="FP12" s="365"/>
      <c r="FQ12" s="365"/>
      <c r="FR12" s="365"/>
      <c r="FS12" s="365"/>
      <c r="FT12" s="365"/>
      <c r="FU12" s="365"/>
      <c r="FV12" s="365"/>
      <c r="FW12" s="365"/>
      <c r="FX12" s="365"/>
      <c r="FY12" s="365"/>
      <c r="FZ12" s="365"/>
      <c r="GA12" s="365"/>
      <c r="GB12" s="365"/>
      <c r="GC12" s="365"/>
      <c r="GD12" s="365"/>
      <c r="GE12" s="365"/>
      <c r="GF12" s="365"/>
      <c r="GG12" s="365"/>
      <c r="GH12" s="365"/>
      <c r="GI12" s="365"/>
      <c r="GJ12" s="365"/>
      <c r="GK12" s="365"/>
      <c r="GL12" s="365"/>
      <c r="GM12" s="365"/>
      <c r="GN12" s="365"/>
      <c r="GO12" s="365"/>
      <c r="GP12" s="365"/>
      <c r="GQ12" s="365"/>
      <c r="GR12" s="365"/>
      <c r="GS12" s="365"/>
    </row>
    <row r="13">
      <c r="A13" s="380" t="s">
        <v>205</v>
      </c>
      <c r="B13" s="371"/>
      <c r="C13" s="371"/>
      <c r="D13" s="370"/>
      <c r="E13" s="370"/>
      <c r="F13" s="371"/>
      <c r="G13" s="371"/>
      <c r="H13" s="370"/>
      <c r="I13" s="370"/>
      <c r="J13" s="371"/>
      <c r="K13" s="371"/>
      <c r="L13" s="370"/>
      <c r="M13" s="370"/>
      <c r="N13" s="371"/>
      <c r="O13" s="371"/>
      <c r="P13" s="370"/>
      <c r="Q13" s="370"/>
      <c r="R13" s="371"/>
      <c r="S13" s="371"/>
      <c r="T13" s="370"/>
      <c r="U13" s="370"/>
      <c r="V13" s="371"/>
      <c r="W13" s="371"/>
      <c r="X13" s="370"/>
      <c r="Y13" s="370"/>
      <c r="Z13" s="371"/>
      <c r="AA13" s="371"/>
      <c r="AB13" s="370"/>
      <c r="AC13" s="370"/>
      <c r="AD13" s="371"/>
      <c r="AE13" s="371"/>
      <c r="AF13" s="370"/>
      <c r="AG13" s="370"/>
      <c r="AH13" s="371"/>
      <c r="AI13" s="371"/>
      <c r="AJ13" s="370"/>
      <c r="AK13" s="370"/>
      <c r="AL13" s="371"/>
      <c r="AM13" s="371"/>
      <c r="AN13" s="370"/>
      <c r="AO13" s="370"/>
      <c r="AP13" s="371"/>
      <c r="AQ13" s="371"/>
      <c r="AR13" s="370"/>
      <c r="AS13" s="370"/>
      <c r="AT13" s="371"/>
      <c r="AU13" s="371"/>
      <c r="AV13" s="370"/>
      <c r="AW13" s="370"/>
      <c r="AX13" s="371"/>
      <c r="AY13" s="371"/>
      <c r="AZ13" s="370"/>
      <c r="BA13" s="370"/>
      <c r="BB13" s="371"/>
      <c r="BC13" s="371"/>
      <c r="BD13" s="370"/>
      <c r="BE13" s="370"/>
      <c r="BF13" s="371"/>
      <c r="BG13" s="371"/>
      <c r="BH13" s="370"/>
      <c r="BI13" s="370"/>
      <c r="BJ13" s="371"/>
      <c r="BK13" s="371"/>
      <c r="BL13" s="370"/>
      <c r="BM13" s="370"/>
      <c r="BN13" s="371"/>
      <c r="BO13" s="371"/>
      <c r="BP13" s="370"/>
      <c r="BQ13" s="370"/>
      <c r="BR13" s="371"/>
      <c r="BS13" s="371"/>
      <c r="BT13" s="370"/>
      <c r="BU13" s="370"/>
      <c r="BV13" s="371"/>
      <c r="BW13" s="371"/>
      <c r="BX13" s="370"/>
      <c r="BY13" s="370"/>
      <c r="BZ13" s="371"/>
      <c r="CA13" s="371"/>
      <c r="CB13" s="370"/>
      <c r="CC13" s="370"/>
      <c r="CD13" s="371"/>
      <c r="CE13" s="371"/>
      <c r="CF13" s="370"/>
      <c r="CG13" s="370"/>
      <c r="CH13" s="371"/>
      <c r="CI13" s="371"/>
      <c r="CJ13" s="370"/>
      <c r="CK13" s="370"/>
      <c r="CL13" s="371"/>
      <c r="CM13" s="371"/>
      <c r="CN13" s="370"/>
      <c r="CO13" s="370"/>
      <c r="CP13" s="371"/>
      <c r="CQ13" s="371"/>
      <c r="CR13" s="370"/>
      <c r="CS13" s="370"/>
      <c r="CT13" s="371"/>
      <c r="CU13" s="371"/>
      <c r="CV13" s="370"/>
      <c r="CW13" s="370"/>
      <c r="CX13" s="371"/>
      <c r="CY13" s="371"/>
      <c r="CZ13" s="370"/>
      <c r="DA13" s="370"/>
      <c r="DB13" s="371"/>
      <c r="DC13" s="371"/>
      <c r="DD13" s="370"/>
      <c r="DE13" s="370"/>
      <c r="DF13" s="371"/>
      <c r="DG13" s="371"/>
      <c r="DH13" s="370"/>
      <c r="DI13" s="370"/>
      <c r="DJ13" s="371"/>
      <c r="DK13" s="371"/>
      <c r="DL13" s="370"/>
      <c r="DM13" s="370"/>
      <c r="DN13" s="371"/>
      <c r="DO13" s="371"/>
      <c r="DP13" s="370"/>
      <c r="DQ13" s="370"/>
      <c r="DR13" s="371"/>
      <c r="DS13" s="371"/>
      <c r="DT13" s="370"/>
      <c r="DU13" s="370"/>
      <c r="DV13" s="371"/>
      <c r="DW13" s="371"/>
      <c r="DX13" s="370"/>
      <c r="DY13" s="370"/>
      <c r="DZ13" s="371"/>
      <c r="EA13" s="371"/>
      <c r="EB13" s="370"/>
      <c r="EC13" s="370"/>
      <c r="ED13" s="371"/>
      <c r="EE13" s="371"/>
      <c r="EF13" s="370"/>
      <c r="EG13" s="370"/>
      <c r="EH13" s="371"/>
      <c r="EI13" s="371"/>
      <c r="EJ13" s="370"/>
      <c r="EK13" s="370"/>
      <c r="EL13" s="371"/>
      <c r="EM13" s="371"/>
      <c r="EN13" s="370"/>
      <c r="EO13" s="370"/>
      <c r="EP13" s="371"/>
      <c r="EQ13" s="371"/>
      <c r="ER13" s="370"/>
      <c r="ES13" s="370"/>
      <c r="ET13" s="371"/>
      <c r="EU13" s="371"/>
      <c r="EV13" s="370"/>
      <c r="EW13" s="370"/>
      <c r="EX13" s="371"/>
      <c r="EY13" s="371"/>
      <c r="EZ13" s="370"/>
      <c r="FA13" s="370"/>
      <c r="FB13" s="371"/>
      <c r="FC13" s="371"/>
      <c r="FD13" s="370"/>
      <c r="FE13" s="370"/>
      <c r="FF13" s="371"/>
      <c r="FG13" s="371"/>
      <c r="FH13" s="370"/>
      <c r="FI13" s="370"/>
      <c r="FJ13" s="371"/>
      <c r="FK13" s="371"/>
      <c r="FL13" s="370"/>
      <c r="FM13" s="370"/>
      <c r="FN13" s="371"/>
      <c r="FO13" s="371"/>
      <c r="FP13" s="370"/>
      <c r="FQ13" s="370"/>
      <c r="FR13" s="371"/>
      <c r="FS13" s="371"/>
      <c r="FT13" s="370"/>
      <c r="FU13" s="370"/>
      <c r="FV13" s="371"/>
      <c r="FW13" s="371"/>
      <c r="FX13" s="370"/>
      <c r="FY13" s="370"/>
      <c r="FZ13" s="371"/>
      <c r="GA13" s="371"/>
      <c r="GB13" s="370"/>
      <c r="GC13" s="370"/>
      <c r="GD13" s="371"/>
      <c r="GE13" s="371"/>
      <c r="GF13" s="370"/>
      <c r="GG13" s="370"/>
      <c r="GH13" s="371"/>
      <c r="GI13" s="371"/>
      <c r="GJ13" s="370"/>
      <c r="GK13" s="370"/>
      <c r="GL13" s="371"/>
      <c r="GM13" s="371"/>
      <c r="GN13" s="370"/>
      <c r="GO13" s="370"/>
      <c r="GP13" s="371"/>
      <c r="GQ13" s="371"/>
      <c r="GR13" s="370"/>
      <c r="GS13" s="370"/>
    </row>
    <row r="14">
      <c r="A14" s="380" t="s">
        <v>206</v>
      </c>
      <c r="B14" s="371"/>
      <c r="C14" s="371"/>
      <c r="D14" s="370"/>
      <c r="E14" s="370"/>
      <c r="F14" s="371"/>
      <c r="G14" s="371"/>
      <c r="H14" s="370"/>
      <c r="I14" s="370"/>
      <c r="J14" s="371"/>
      <c r="K14" s="371"/>
      <c r="L14" s="370"/>
      <c r="M14" s="370"/>
      <c r="N14" s="371"/>
      <c r="O14" s="371"/>
      <c r="P14" s="370"/>
      <c r="Q14" s="370"/>
      <c r="R14" s="371"/>
      <c r="S14" s="371"/>
      <c r="T14" s="370"/>
      <c r="U14" s="370"/>
      <c r="V14" s="371"/>
      <c r="W14" s="371"/>
      <c r="X14" s="370"/>
      <c r="Y14" s="370"/>
      <c r="Z14" s="371"/>
      <c r="AA14" s="371"/>
      <c r="AB14" s="370"/>
      <c r="AC14" s="370"/>
      <c r="AD14" s="371"/>
      <c r="AE14" s="371"/>
      <c r="AF14" s="370"/>
      <c r="AG14" s="370"/>
      <c r="AH14" s="371"/>
      <c r="AI14" s="371"/>
      <c r="AJ14" s="370"/>
      <c r="AK14" s="370"/>
      <c r="AL14" s="371"/>
      <c r="AM14" s="371"/>
      <c r="AN14" s="370"/>
      <c r="AO14" s="370"/>
      <c r="AP14" s="371"/>
      <c r="AQ14" s="371"/>
      <c r="AR14" s="370"/>
      <c r="AS14" s="370"/>
      <c r="AT14" s="371"/>
      <c r="AU14" s="371"/>
      <c r="AV14" s="370"/>
      <c r="AW14" s="370"/>
      <c r="AX14" s="371"/>
      <c r="AY14" s="371"/>
      <c r="AZ14" s="370"/>
      <c r="BA14" s="370"/>
      <c r="BB14" s="371"/>
      <c r="BC14" s="371"/>
      <c r="BD14" s="370"/>
      <c r="BE14" s="370"/>
      <c r="BF14" s="371"/>
      <c r="BG14" s="371"/>
      <c r="BH14" s="370"/>
      <c r="BI14" s="370"/>
      <c r="BJ14" s="371"/>
      <c r="BK14" s="371"/>
      <c r="BL14" s="370"/>
      <c r="BM14" s="370"/>
      <c r="BN14" s="371"/>
      <c r="BO14" s="371"/>
      <c r="BP14" s="370"/>
      <c r="BQ14" s="370"/>
      <c r="BR14" s="371"/>
      <c r="BS14" s="371"/>
      <c r="BT14" s="370"/>
      <c r="BU14" s="370"/>
      <c r="BV14" s="371"/>
      <c r="BW14" s="371"/>
      <c r="BX14" s="370"/>
      <c r="BY14" s="370"/>
      <c r="BZ14" s="371"/>
      <c r="CA14" s="371"/>
      <c r="CB14" s="370"/>
      <c r="CC14" s="370"/>
      <c r="CD14" s="371"/>
      <c r="CE14" s="371"/>
      <c r="CF14" s="370"/>
      <c r="CG14" s="370"/>
      <c r="CH14" s="371"/>
      <c r="CI14" s="371"/>
      <c r="CJ14" s="370"/>
      <c r="CK14" s="370"/>
      <c r="CL14" s="371"/>
      <c r="CM14" s="371"/>
      <c r="CN14" s="370"/>
      <c r="CO14" s="370"/>
      <c r="CP14" s="371"/>
      <c r="CQ14" s="371"/>
      <c r="CR14" s="370"/>
      <c r="CS14" s="370"/>
      <c r="CT14" s="371"/>
      <c r="CU14" s="371"/>
      <c r="CV14" s="370"/>
      <c r="CW14" s="370"/>
      <c r="CX14" s="371"/>
      <c r="CY14" s="371"/>
      <c r="CZ14" s="370"/>
      <c r="DA14" s="370"/>
      <c r="DB14" s="371"/>
      <c r="DC14" s="371"/>
      <c r="DD14" s="370"/>
      <c r="DE14" s="370"/>
      <c r="DF14" s="371"/>
      <c r="DG14" s="371"/>
      <c r="DH14" s="370"/>
      <c r="DI14" s="370"/>
      <c r="DJ14" s="371"/>
      <c r="DK14" s="371"/>
      <c r="DL14" s="370"/>
      <c r="DM14" s="370"/>
      <c r="DN14" s="371"/>
      <c r="DO14" s="371"/>
      <c r="DP14" s="370"/>
      <c r="DQ14" s="370"/>
      <c r="DR14" s="371"/>
      <c r="DS14" s="371"/>
      <c r="DT14" s="370"/>
      <c r="DU14" s="370"/>
      <c r="DV14" s="371"/>
      <c r="DW14" s="371"/>
      <c r="DX14" s="370"/>
      <c r="DY14" s="370"/>
      <c r="DZ14" s="371"/>
      <c r="EA14" s="371"/>
      <c r="EB14" s="370"/>
      <c r="EC14" s="370"/>
      <c r="ED14" s="371"/>
      <c r="EE14" s="371"/>
      <c r="EF14" s="370"/>
      <c r="EG14" s="370"/>
      <c r="EH14" s="371"/>
      <c r="EI14" s="371"/>
      <c r="EJ14" s="370"/>
      <c r="EK14" s="370"/>
      <c r="EL14" s="371"/>
      <c r="EM14" s="371"/>
      <c r="EN14" s="370"/>
      <c r="EO14" s="370"/>
      <c r="EP14" s="371"/>
      <c r="EQ14" s="371"/>
      <c r="ER14" s="370"/>
      <c r="ES14" s="370"/>
      <c r="ET14" s="371"/>
      <c r="EU14" s="371"/>
      <c r="EV14" s="370"/>
      <c r="EW14" s="370"/>
      <c r="EX14" s="371"/>
      <c r="EY14" s="371"/>
      <c r="EZ14" s="370"/>
      <c r="FA14" s="370"/>
      <c r="FB14" s="371"/>
      <c r="FC14" s="371"/>
      <c r="FD14" s="370"/>
      <c r="FE14" s="370"/>
      <c r="FF14" s="371"/>
      <c r="FG14" s="371"/>
      <c r="FH14" s="370"/>
      <c r="FI14" s="370"/>
      <c r="FJ14" s="371"/>
      <c r="FK14" s="371"/>
      <c r="FL14" s="370"/>
      <c r="FM14" s="370"/>
      <c r="FN14" s="371"/>
      <c r="FO14" s="371"/>
      <c r="FP14" s="370"/>
      <c r="FQ14" s="370"/>
      <c r="FR14" s="371"/>
      <c r="FS14" s="371"/>
      <c r="FT14" s="370"/>
      <c r="FU14" s="370"/>
      <c r="FV14" s="371"/>
      <c r="FW14" s="371"/>
      <c r="FX14" s="370"/>
      <c r="FY14" s="370"/>
      <c r="FZ14" s="371"/>
      <c r="GA14" s="371"/>
      <c r="GB14" s="370"/>
      <c r="GC14" s="370"/>
      <c r="GD14" s="371"/>
      <c r="GE14" s="371"/>
      <c r="GF14" s="370"/>
      <c r="GG14" s="370"/>
      <c r="GH14" s="371"/>
      <c r="GI14" s="371"/>
      <c r="GJ14" s="370"/>
      <c r="GK14" s="370"/>
      <c r="GL14" s="371"/>
      <c r="GM14" s="371"/>
      <c r="GN14" s="370"/>
      <c r="GO14" s="370"/>
      <c r="GP14" s="371"/>
      <c r="GQ14" s="371"/>
      <c r="GR14" s="370"/>
      <c r="GS14" s="370"/>
    </row>
    <row r="15">
      <c r="A15" s="380" t="s">
        <v>207</v>
      </c>
      <c r="B15" s="371"/>
      <c r="C15" s="371"/>
      <c r="D15" s="370"/>
      <c r="E15" s="370"/>
      <c r="F15" s="371"/>
      <c r="G15" s="371"/>
      <c r="H15" s="370"/>
      <c r="I15" s="370"/>
      <c r="J15" s="371"/>
      <c r="K15" s="371"/>
      <c r="L15" s="370"/>
      <c r="M15" s="370"/>
      <c r="N15" s="371"/>
      <c r="O15" s="371"/>
      <c r="P15" s="370"/>
      <c r="Q15" s="370"/>
      <c r="R15" s="371"/>
      <c r="S15" s="371"/>
      <c r="T15" s="370"/>
      <c r="U15" s="370"/>
      <c r="V15" s="371"/>
      <c r="W15" s="371"/>
      <c r="X15" s="370"/>
      <c r="Y15" s="370"/>
      <c r="Z15" s="371"/>
      <c r="AA15" s="371"/>
      <c r="AB15" s="370"/>
      <c r="AC15" s="370"/>
      <c r="AD15" s="371"/>
      <c r="AE15" s="371"/>
      <c r="AF15" s="370"/>
      <c r="AG15" s="370"/>
      <c r="AH15" s="371"/>
      <c r="AI15" s="371"/>
      <c r="AJ15" s="370"/>
      <c r="AK15" s="370"/>
      <c r="AL15" s="371"/>
      <c r="AM15" s="371"/>
      <c r="AN15" s="370"/>
      <c r="AO15" s="370"/>
      <c r="AP15" s="371"/>
      <c r="AQ15" s="371"/>
      <c r="AR15" s="370"/>
      <c r="AS15" s="370"/>
      <c r="AT15" s="371"/>
      <c r="AU15" s="371"/>
      <c r="AV15" s="370"/>
      <c r="AW15" s="370"/>
      <c r="AX15" s="371"/>
      <c r="AY15" s="371"/>
      <c r="AZ15" s="370"/>
      <c r="BA15" s="370"/>
      <c r="BB15" s="371"/>
      <c r="BC15" s="371"/>
      <c r="BD15" s="370"/>
      <c r="BE15" s="370"/>
      <c r="BF15" s="371"/>
      <c r="BG15" s="371"/>
      <c r="BH15" s="370"/>
      <c r="BI15" s="370"/>
      <c r="BJ15" s="371"/>
      <c r="BK15" s="371"/>
      <c r="BL15" s="370"/>
      <c r="BM15" s="370"/>
      <c r="BN15" s="371"/>
      <c r="BO15" s="371"/>
      <c r="BP15" s="370"/>
      <c r="BQ15" s="370"/>
      <c r="BR15" s="371"/>
      <c r="BS15" s="371"/>
      <c r="BT15" s="370"/>
      <c r="BU15" s="370"/>
      <c r="BV15" s="371"/>
      <c r="BW15" s="371"/>
      <c r="BX15" s="370"/>
      <c r="BY15" s="370"/>
      <c r="BZ15" s="371"/>
      <c r="CA15" s="371"/>
      <c r="CB15" s="370"/>
      <c r="CC15" s="370"/>
      <c r="CD15" s="371"/>
      <c r="CE15" s="371"/>
      <c r="CF15" s="370"/>
      <c r="CG15" s="370"/>
      <c r="CH15" s="371"/>
      <c r="CI15" s="371"/>
      <c r="CJ15" s="370"/>
      <c r="CK15" s="370"/>
      <c r="CL15" s="371"/>
      <c r="CM15" s="371"/>
      <c r="CN15" s="370"/>
      <c r="CO15" s="370"/>
      <c r="CP15" s="371"/>
      <c r="CQ15" s="371"/>
      <c r="CR15" s="370"/>
      <c r="CS15" s="370"/>
      <c r="CT15" s="371"/>
      <c r="CU15" s="371"/>
      <c r="CV15" s="370"/>
      <c r="CW15" s="370"/>
      <c r="CX15" s="371"/>
      <c r="CY15" s="371"/>
      <c r="CZ15" s="370"/>
      <c r="DA15" s="370"/>
      <c r="DB15" s="371"/>
      <c r="DC15" s="371"/>
      <c r="DD15" s="370"/>
      <c r="DE15" s="370"/>
      <c r="DF15" s="371"/>
      <c r="DG15" s="371"/>
      <c r="DH15" s="370"/>
      <c r="DI15" s="370"/>
      <c r="DJ15" s="371"/>
      <c r="DK15" s="371"/>
      <c r="DL15" s="370"/>
      <c r="DM15" s="370"/>
      <c r="DN15" s="371"/>
      <c r="DO15" s="371"/>
      <c r="DP15" s="370"/>
      <c r="DQ15" s="370"/>
      <c r="DR15" s="371"/>
      <c r="DS15" s="371"/>
      <c r="DT15" s="370"/>
      <c r="DU15" s="370"/>
      <c r="DV15" s="371"/>
      <c r="DW15" s="371"/>
      <c r="DX15" s="370"/>
      <c r="DY15" s="370"/>
      <c r="DZ15" s="371"/>
      <c r="EA15" s="371"/>
      <c r="EB15" s="370"/>
      <c r="EC15" s="370"/>
      <c r="ED15" s="371"/>
      <c r="EE15" s="371"/>
      <c r="EF15" s="370"/>
      <c r="EG15" s="370"/>
      <c r="EH15" s="371"/>
      <c r="EI15" s="371"/>
      <c r="EJ15" s="370"/>
      <c r="EK15" s="370"/>
      <c r="EL15" s="371"/>
      <c r="EM15" s="371"/>
      <c r="EN15" s="370"/>
      <c r="EO15" s="370"/>
      <c r="EP15" s="371"/>
      <c r="EQ15" s="371"/>
      <c r="ER15" s="370"/>
      <c r="ES15" s="370"/>
      <c r="ET15" s="371"/>
      <c r="EU15" s="371"/>
      <c r="EV15" s="370"/>
      <c r="EW15" s="370"/>
      <c r="EX15" s="371"/>
      <c r="EY15" s="371"/>
      <c r="EZ15" s="370"/>
      <c r="FA15" s="370"/>
      <c r="FB15" s="371"/>
      <c r="FC15" s="371"/>
      <c r="FD15" s="370"/>
      <c r="FE15" s="370"/>
      <c r="FF15" s="371"/>
      <c r="FG15" s="371"/>
      <c r="FH15" s="370"/>
      <c r="FI15" s="370"/>
      <c r="FJ15" s="371"/>
      <c r="FK15" s="371"/>
      <c r="FL15" s="370"/>
      <c r="FM15" s="370"/>
      <c r="FN15" s="371"/>
      <c r="FO15" s="371"/>
      <c r="FP15" s="370"/>
      <c r="FQ15" s="370"/>
      <c r="FR15" s="371"/>
      <c r="FS15" s="371"/>
      <c r="FT15" s="370"/>
      <c r="FU15" s="370"/>
      <c r="FV15" s="371"/>
      <c r="FW15" s="371"/>
      <c r="FX15" s="370"/>
      <c r="FY15" s="370"/>
      <c r="FZ15" s="371"/>
      <c r="GA15" s="371"/>
      <c r="GB15" s="370"/>
      <c r="GC15" s="370"/>
      <c r="GD15" s="371"/>
      <c r="GE15" s="371"/>
      <c r="GF15" s="370"/>
      <c r="GG15" s="370"/>
      <c r="GH15" s="371"/>
      <c r="GI15" s="371"/>
      <c r="GJ15" s="370"/>
      <c r="GK15" s="370"/>
      <c r="GL15" s="371"/>
      <c r="GM15" s="371"/>
      <c r="GN15" s="370"/>
      <c r="GO15" s="370"/>
      <c r="GP15" s="371"/>
      <c r="GQ15" s="371"/>
      <c r="GR15" s="370"/>
      <c r="GS15" s="370"/>
    </row>
    <row r="16">
      <c r="A16" s="365" t="s">
        <v>208</v>
      </c>
      <c r="B16" s="365"/>
      <c r="C16" s="365"/>
      <c r="D16" s="365"/>
      <c r="E16" s="365"/>
      <c r="F16" s="365"/>
      <c r="G16" s="365"/>
      <c r="H16" s="365"/>
      <c r="I16" s="365"/>
      <c r="J16" s="365"/>
      <c r="K16" s="365"/>
      <c r="L16" s="365"/>
      <c r="M16" s="365"/>
      <c r="N16" s="365"/>
      <c r="O16" s="365"/>
      <c r="P16" s="365"/>
      <c r="Q16" s="365"/>
      <c r="R16" s="365"/>
      <c r="S16" s="365"/>
      <c r="T16" s="365"/>
      <c r="U16" s="365"/>
      <c r="V16" s="365"/>
      <c r="W16" s="365"/>
      <c r="X16" s="365"/>
      <c r="Y16" s="365"/>
      <c r="Z16" s="365"/>
      <c r="AA16" s="365"/>
      <c r="AB16" s="365"/>
      <c r="AC16" s="365"/>
      <c r="AD16" s="365"/>
      <c r="AE16" s="365"/>
      <c r="AF16" s="365"/>
      <c r="AG16" s="365"/>
      <c r="AH16" s="365"/>
      <c r="AI16" s="365"/>
      <c r="AJ16" s="365"/>
      <c r="AK16" s="365"/>
      <c r="AL16" s="365"/>
      <c r="AM16" s="365"/>
      <c r="AN16" s="365"/>
      <c r="AO16" s="365"/>
      <c r="AP16" s="365"/>
      <c r="AQ16" s="365"/>
      <c r="AR16" s="365"/>
      <c r="AS16" s="365"/>
      <c r="AT16" s="365"/>
      <c r="AU16" s="365"/>
      <c r="AV16" s="365"/>
      <c r="AW16" s="365"/>
      <c r="AX16" s="365"/>
      <c r="AY16" s="365"/>
      <c r="AZ16" s="365"/>
      <c r="BA16" s="365"/>
      <c r="BB16" s="365"/>
      <c r="BC16" s="365"/>
      <c r="BD16" s="365"/>
      <c r="BE16" s="365"/>
      <c r="BF16" s="365"/>
      <c r="BG16" s="365"/>
      <c r="BH16" s="365"/>
      <c r="BI16" s="365"/>
      <c r="BJ16" s="365"/>
      <c r="BK16" s="365"/>
      <c r="BL16" s="365"/>
      <c r="BM16" s="365"/>
      <c r="BN16" s="365"/>
      <c r="BO16" s="365"/>
      <c r="BP16" s="365"/>
      <c r="BQ16" s="365"/>
      <c r="BR16" s="365"/>
      <c r="BS16" s="365"/>
      <c r="BT16" s="365"/>
      <c r="BU16" s="365"/>
      <c r="BV16" s="365"/>
      <c r="BW16" s="365"/>
      <c r="BX16" s="365"/>
      <c r="BY16" s="365"/>
      <c r="BZ16" s="365"/>
      <c r="CA16" s="365"/>
      <c r="CB16" s="365"/>
      <c r="CC16" s="365"/>
      <c r="CD16" s="365"/>
      <c r="CE16" s="365"/>
      <c r="CF16" s="365"/>
      <c r="CG16" s="365"/>
      <c r="CH16" s="365"/>
      <c r="CI16" s="365"/>
      <c r="CJ16" s="365"/>
      <c r="CK16" s="365"/>
      <c r="CL16" s="365"/>
      <c r="CM16" s="365"/>
      <c r="CN16" s="365"/>
      <c r="CO16" s="365"/>
      <c r="CP16" s="365"/>
      <c r="CQ16" s="365"/>
      <c r="CR16" s="365"/>
      <c r="CS16" s="365"/>
      <c r="CT16" s="365"/>
      <c r="CU16" s="365"/>
      <c r="CV16" s="365"/>
      <c r="CW16" s="365"/>
      <c r="CX16" s="365"/>
      <c r="CY16" s="365"/>
      <c r="CZ16" s="365"/>
      <c r="DA16" s="365"/>
      <c r="DB16" s="365"/>
      <c r="DC16" s="365"/>
      <c r="DD16" s="365"/>
      <c r="DE16" s="365"/>
      <c r="DF16" s="365"/>
      <c r="DG16" s="365"/>
      <c r="DH16" s="365"/>
      <c r="DI16" s="365"/>
      <c r="DJ16" s="365"/>
      <c r="DK16" s="365"/>
      <c r="DL16" s="365"/>
      <c r="DM16" s="365"/>
      <c r="DN16" s="365"/>
      <c r="DO16" s="365"/>
      <c r="DP16" s="365"/>
      <c r="DQ16" s="365"/>
      <c r="DR16" s="365"/>
      <c r="DS16" s="365"/>
      <c r="DT16" s="365"/>
      <c r="DU16" s="365"/>
      <c r="DV16" s="365"/>
      <c r="DW16" s="365"/>
      <c r="DX16" s="365"/>
      <c r="DY16" s="365"/>
      <c r="DZ16" s="365"/>
      <c r="EA16" s="365"/>
      <c r="EB16" s="365"/>
      <c r="EC16" s="365"/>
      <c r="ED16" s="365"/>
      <c r="EE16" s="365"/>
      <c r="EF16" s="365"/>
      <c r="EG16" s="365"/>
      <c r="EH16" s="365"/>
      <c r="EI16" s="365"/>
      <c r="EJ16" s="365"/>
      <c r="EK16" s="365"/>
      <c r="EL16" s="365"/>
      <c r="EM16" s="365"/>
      <c r="EN16" s="365"/>
      <c r="EO16" s="365"/>
      <c r="EP16" s="365"/>
      <c r="EQ16" s="365"/>
      <c r="ER16" s="365"/>
      <c r="ES16" s="365"/>
      <c r="ET16" s="365"/>
      <c r="EU16" s="365"/>
      <c r="EV16" s="365"/>
      <c r="EW16" s="365"/>
      <c r="EX16" s="365"/>
      <c r="EY16" s="365"/>
      <c r="EZ16" s="365"/>
      <c r="FA16" s="365"/>
      <c r="FB16" s="365"/>
      <c r="FC16" s="365"/>
      <c r="FD16" s="365"/>
      <c r="FE16" s="365"/>
      <c r="FF16" s="365"/>
      <c r="FG16" s="365"/>
      <c r="FH16" s="365"/>
      <c r="FI16" s="365"/>
      <c r="FJ16" s="365"/>
      <c r="FK16" s="365"/>
      <c r="FL16" s="365"/>
      <c r="FM16" s="365"/>
      <c r="FN16" s="365"/>
      <c r="FO16" s="365"/>
      <c r="FP16" s="365"/>
      <c r="FQ16" s="365"/>
      <c r="FR16" s="365"/>
      <c r="FS16" s="365"/>
      <c r="FT16" s="365"/>
      <c r="FU16" s="365"/>
      <c r="FV16" s="365"/>
      <c r="FW16" s="365"/>
      <c r="FX16" s="365"/>
      <c r="FY16" s="365"/>
      <c r="FZ16" s="365"/>
      <c r="GA16" s="365"/>
      <c r="GB16" s="365"/>
      <c r="GC16" s="365"/>
      <c r="GD16" s="365"/>
      <c r="GE16" s="365"/>
      <c r="GF16" s="365"/>
      <c r="GG16" s="365"/>
      <c r="GH16" s="365"/>
      <c r="GI16" s="365"/>
      <c r="GJ16" s="365"/>
      <c r="GK16" s="365"/>
      <c r="GL16" s="365"/>
      <c r="GM16" s="365"/>
      <c r="GN16" s="365"/>
      <c r="GO16" s="365"/>
      <c r="GP16" s="365"/>
      <c r="GQ16" s="365"/>
      <c r="GR16" s="365"/>
      <c r="GS16" s="365"/>
    </row>
    <row r="17">
      <c r="A17" s="367" t="s">
        <v>209</v>
      </c>
      <c r="B17" s="371"/>
      <c r="C17" s="371"/>
      <c r="D17" s="370"/>
      <c r="E17" s="370"/>
      <c r="F17" s="371"/>
      <c r="G17" s="371"/>
      <c r="H17" s="370"/>
      <c r="I17" s="370"/>
      <c r="J17" s="371"/>
      <c r="K17" s="371"/>
      <c r="L17" s="370"/>
      <c r="M17" s="370"/>
      <c r="N17" s="371"/>
      <c r="O17" s="371"/>
      <c r="P17" s="370"/>
      <c r="Q17" s="370"/>
      <c r="R17" s="371"/>
      <c r="S17" s="371"/>
      <c r="T17" s="370"/>
      <c r="U17" s="370"/>
      <c r="V17" s="371"/>
      <c r="W17" s="371"/>
      <c r="X17" s="370"/>
      <c r="Y17" s="370"/>
      <c r="Z17" s="371"/>
      <c r="AA17" s="371"/>
      <c r="AB17" s="370"/>
      <c r="AC17" s="370"/>
      <c r="AD17" s="371"/>
      <c r="AE17" s="371"/>
      <c r="AF17" s="370"/>
      <c r="AG17" s="370"/>
      <c r="AH17" s="371"/>
      <c r="AI17" s="371"/>
      <c r="AJ17" s="370"/>
      <c r="AK17" s="370"/>
      <c r="AL17" s="371"/>
      <c r="AM17" s="371"/>
      <c r="AN17" s="370"/>
      <c r="AO17" s="370"/>
      <c r="AP17" s="371"/>
      <c r="AQ17" s="371"/>
      <c r="AR17" s="370"/>
      <c r="AS17" s="370"/>
      <c r="AT17" s="371"/>
      <c r="AU17" s="371"/>
      <c r="AV17" s="370"/>
      <c r="AW17" s="370"/>
      <c r="AX17" s="371"/>
      <c r="AY17" s="371"/>
      <c r="AZ17" s="370"/>
      <c r="BA17" s="370"/>
      <c r="BB17" s="371"/>
      <c r="BC17" s="371"/>
      <c r="BD17" s="370"/>
      <c r="BE17" s="370"/>
      <c r="BF17" s="371"/>
      <c r="BG17" s="371"/>
      <c r="BH17" s="370"/>
      <c r="BI17" s="370"/>
      <c r="BJ17" s="371"/>
      <c r="BK17" s="371"/>
      <c r="BL17" s="370"/>
      <c r="BM17" s="370"/>
      <c r="BN17" s="371"/>
      <c r="BO17" s="371"/>
      <c r="BP17" s="370"/>
      <c r="BQ17" s="370"/>
      <c r="BR17" s="371"/>
      <c r="BS17" s="371"/>
      <c r="BT17" s="370"/>
      <c r="BU17" s="370"/>
      <c r="BV17" s="371"/>
      <c r="BW17" s="371"/>
      <c r="BX17" s="370"/>
      <c r="BY17" s="370"/>
      <c r="BZ17" s="371"/>
      <c r="CA17" s="371"/>
      <c r="CB17" s="370"/>
      <c r="CC17" s="370"/>
      <c r="CD17" s="371"/>
      <c r="CE17" s="371"/>
      <c r="CF17" s="370"/>
      <c r="CG17" s="370"/>
      <c r="CH17" s="371"/>
      <c r="CI17" s="371"/>
      <c r="CJ17" s="370"/>
      <c r="CK17" s="370"/>
      <c r="CL17" s="371"/>
      <c r="CM17" s="371"/>
      <c r="CN17" s="370"/>
      <c r="CO17" s="370"/>
      <c r="CP17" s="371"/>
      <c r="CQ17" s="371"/>
      <c r="CR17" s="370"/>
      <c r="CS17" s="370"/>
      <c r="CT17" s="371"/>
      <c r="CU17" s="371"/>
      <c r="CV17" s="370"/>
      <c r="CW17" s="370"/>
      <c r="CX17" s="371"/>
      <c r="CY17" s="371"/>
      <c r="CZ17" s="370"/>
      <c r="DA17" s="370"/>
      <c r="DB17" s="371"/>
      <c r="DC17" s="371"/>
      <c r="DD17" s="370"/>
      <c r="DE17" s="370"/>
      <c r="DF17" s="371"/>
      <c r="DG17" s="371"/>
      <c r="DH17" s="370"/>
      <c r="DI17" s="370"/>
      <c r="DJ17" s="371"/>
      <c r="DK17" s="371"/>
      <c r="DL17" s="370"/>
      <c r="DM17" s="370"/>
      <c r="DN17" s="371"/>
      <c r="DO17" s="371"/>
      <c r="DP17" s="370"/>
      <c r="DQ17" s="370"/>
      <c r="DR17" s="371"/>
      <c r="DS17" s="371"/>
      <c r="DT17" s="370"/>
      <c r="DU17" s="370"/>
      <c r="DV17" s="371"/>
      <c r="DW17" s="371"/>
      <c r="DX17" s="370"/>
      <c r="DY17" s="370"/>
      <c r="DZ17" s="371"/>
      <c r="EA17" s="371"/>
      <c r="EB17" s="370"/>
      <c r="EC17" s="370"/>
      <c r="ED17" s="371"/>
      <c r="EE17" s="371"/>
      <c r="EF17" s="370"/>
      <c r="EG17" s="370"/>
      <c r="EH17" s="371"/>
      <c r="EI17" s="371"/>
      <c r="EJ17" s="370"/>
      <c r="EK17" s="370"/>
      <c r="EL17" s="371"/>
      <c r="EM17" s="371"/>
      <c r="EN17" s="370"/>
      <c r="EO17" s="370"/>
      <c r="EP17" s="371"/>
      <c r="EQ17" s="371"/>
      <c r="ER17" s="370"/>
      <c r="ES17" s="370"/>
      <c r="ET17" s="371"/>
      <c r="EU17" s="371"/>
      <c r="EV17" s="370"/>
      <c r="EW17" s="370"/>
      <c r="EX17" s="371"/>
      <c r="EY17" s="371"/>
      <c r="EZ17" s="370"/>
      <c r="FA17" s="370"/>
      <c r="FB17" s="371"/>
      <c r="FC17" s="371"/>
      <c r="FD17" s="370"/>
      <c r="FE17" s="370"/>
      <c r="FF17" s="371"/>
      <c r="FG17" s="371"/>
      <c r="FH17" s="370"/>
      <c r="FI17" s="370"/>
      <c r="FJ17" s="371"/>
      <c r="FK17" s="371"/>
      <c r="FL17" s="370"/>
      <c r="FM17" s="370"/>
      <c r="FN17" s="371"/>
      <c r="FO17" s="371"/>
      <c r="FP17" s="370"/>
      <c r="FQ17" s="370"/>
      <c r="FR17" s="371"/>
      <c r="FS17" s="371"/>
      <c r="FT17" s="370"/>
      <c r="FU17" s="370"/>
      <c r="FV17" s="371"/>
      <c r="FW17" s="371"/>
      <c r="FX17" s="370"/>
      <c r="FY17" s="370"/>
      <c r="FZ17" s="371"/>
      <c r="GA17" s="371"/>
      <c r="GB17" s="370"/>
      <c r="GC17" s="370"/>
      <c r="GD17" s="371"/>
      <c r="GE17" s="371"/>
      <c r="GF17" s="370"/>
      <c r="GG17" s="370"/>
      <c r="GH17" s="371"/>
      <c r="GI17" s="371"/>
      <c r="GJ17" s="370"/>
      <c r="GK17" s="370"/>
      <c r="GL17" s="371"/>
      <c r="GM17" s="371"/>
      <c r="GN17" s="370"/>
      <c r="GO17" s="370"/>
      <c r="GP17" s="371"/>
      <c r="GQ17" s="371"/>
      <c r="GR17" s="370"/>
      <c r="GS17" s="370"/>
    </row>
    <row r="18">
      <c r="A18" s="367" t="s">
        <v>210</v>
      </c>
      <c r="B18" s="371"/>
      <c r="C18" s="371"/>
      <c r="D18" s="370"/>
      <c r="E18" s="370"/>
      <c r="F18" s="371"/>
      <c r="G18" s="371"/>
      <c r="H18" s="370"/>
      <c r="I18" s="370"/>
      <c r="J18" s="371"/>
      <c r="K18" s="371"/>
      <c r="L18" s="370"/>
      <c r="M18" s="370"/>
      <c r="N18" s="371"/>
      <c r="O18" s="371"/>
      <c r="P18" s="370"/>
      <c r="Q18" s="370"/>
      <c r="R18" s="371"/>
      <c r="S18" s="371"/>
      <c r="T18" s="370"/>
      <c r="U18" s="370"/>
      <c r="V18" s="371"/>
      <c r="W18" s="371"/>
      <c r="X18" s="370"/>
      <c r="Y18" s="370"/>
      <c r="Z18" s="371"/>
      <c r="AA18" s="371"/>
      <c r="AB18" s="370"/>
      <c r="AC18" s="370"/>
      <c r="AD18" s="371"/>
      <c r="AE18" s="371"/>
      <c r="AF18" s="370"/>
      <c r="AG18" s="370"/>
      <c r="AH18" s="371"/>
      <c r="AI18" s="371"/>
      <c r="AJ18" s="370"/>
      <c r="AK18" s="370"/>
      <c r="AL18" s="371"/>
      <c r="AM18" s="371"/>
      <c r="AN18" s="370"/>
      <c r="AO18" s="370"/>
      <c r="AP18" s="371"/>
      <c r="AQ18" s="371"/>
      <c r="AR18" s="370"/>
      <c r="AS18" s="370"/>
      <c r="AT18" s="371"/>
      <c r="AU18" s="371"/>
      <c r="AV18" s="370"/>
      <c r="AW18" s="370"/>
      <c r="AX18" s="371"/>
      <c r="AY18" s="371"/>
      <c r="AZ18" s="370"/>
      <c r="BA18" s="370"/>
      <c r="BB18" s="371"/>
      <c r="BC18" s="371"/>
      <c r="BD18" s="370"/>
      <c r="BE18" s="370"/>
      <c r="BF18" s="371"/>
      <c r="BG18" s="371"/>
      <c r="BH18" s="370"/>
      <c r="BI18" s="370"/>
      <c r="BJ18" s="371"/>
      <c r="BK18" s="371"/>
      <c r="BL18" s="370"/>
      <c r="BM18" s="370"/>
      <c r="BN18" s="371"/>
      <c r="BO18" s="371"/>
      <c r="BP18" s="370"/>
      <c r="BQ18" s="370"/>
      <c r="BR18" s="371"/>
      <c r="BS18" s="371"/>
      <c r="BT18" s="370"/>
      <c r="BU18" s="370"/>
      <c r="BV18" s="371"/>
      <c r="BW18" s="371"/>
      <c r="BX18" s="370"/>
      <c r="BY18" s="370"/>
      <c r="BZ18" s="371"/>
      <c r="CA18" s="371"/>
      <c r="CB18" s="370"/>
      <c r="CC18" s="370"/>
      <c r="CD18" s="371"/>
      <c r="CE18" s="371"/>
      <c r="CF18" s="370"/>
      <c r="CG18" s="370"/>
      <c r="CH18" s="371"/>
      <c r="CI18" s="371"/>
      <c r="CJ18" s="370"/>
      <c r="CK18" s="370"/>
      <c r="CL18" s="371"/>
      <c r="CM18" s="371"/>
      <c r="CN18" s="370"/>
      <c r="CO18" s="370"/>
      <c r="CP18" s="371"/>
      <c r="CQ18" s="371"/>
      <c r="CR18" s="370"/>
      <c r="CS18" s="370"/>
      <c r="CT18" s="371"/>
      <c r="CU18" s="371"/>
      <c r="CV18" s="370"/>
      <c r="CW18" s="370"/>
      <c r="CX18" s="371"/>
      <c r="CY18" s="371"/>
      <c r="CZ18" s="370"/>
      <c r="DA18" s="370"/>
      <c r="DB18" s="371"/>
      <c r="DC18" s="371"/>
      <c r="DD18" s="370"/>
      <c r="DE18" s="370"/>
      <c r="DF18" s="371"/>
      <c r="DG18" s="371"/>
      <c r="DH18" s="370"/>
      <c r="DI18" s="370"/>
      <c r="DJ18" s="371"/>
      <c r="DK18" s="371"/>
      <c r="DL18" s="370"/>
      <c r="DM18" s="370"/>
      <c r="DN18" s="371"/>
      <c r="DO18" s="371"/>
      <c r="DP18" s="370"/>
      <c r="DQ18" s="370"/>
      <c r="DR18" s="371"/>
      <c r="DS18" s="371"/>
      <c r="DT18" s="370"/>
      <c r="DU18" s="370"/>
      <c r="DV18" s="371"/>
      <c r="DW18" s="371"/>
      <c r="DX18" s="370"/>
      <c r="DY18" s="370"/>
      <c r="DZ18" s="371"/>
      <c r="EA18" s="371"/>
      <c r="EB18" s="370"/>
      <c r="EC18" s="370"/>
      <c r="ED18" s="371"/>
      <c r="EE18" s="371"/>
      <c r="EF18" s="370"/>
      <c r="EG18" s="370"/>
      <c r="EH18" s="371"/>
      <c r="EI18" s="371"/>
      <c r="EJ18" s="370"/>
      <c r="EK18" s="370"/>
      <c r="EL18" s="371"/>
      <c r="EM18" s="371"/>
      <c r="EN18" s="370"/>
      <c r="EO18" s="370"/>
      <c r="EP18" s="371"/>
      <c r="EQ18" s="371"/>
      <c r="ER18" s="370"/>
      <c r="ES18" s="370"/>
      <c r="ET18" s="371"/>
      <c r="EU18" s="371"/>
      <c r="EV18" s="370"/>
      <c r="EW18" s="370"/>
      <c r="EX18" s="371"/>
      <c r="EY18" s="371"/>
      <c r="EZ18" s="370"/>
      <c r="FA18" s="370"/>
      <c r="FB18" s="371"/>
      <c r="FC18" s="371"/>
      <c r="FD18" s="370"/>
      <c r="FE18" s="370"/>
      <c r="FF18" s="371"/>
      <c r="FG18" s="371"/>
      <c r="FH18" s="370"/>
      <c r="FI18" s="370"/>
      <c r="FJ18" s="371"/>
      <c r="FK18" s="371"/>
      <c r="FL18" s="370"/>
      <c r="FM18" s="370"/>
      <c r="FN18" s="371"/>
      <c r="FO18" s="371"/>
      <c r="FP18" s="370"/>
      <c r="FQ18" s="370"/>
      <c r="FR18" s="371"/>
      <c r="FS18" s="371"/>
      <c r="FT18" s="370"/>
      <c r="FU18" s="370"/>
      <c r="FV18" s="371"/>
      <c r="FW18" s="371"/>
      <c r="FX18" s="370"/>
      <c r="FY18" s="370"/>
      <c r="FZ18" s="371"/>
      <c r="GA18" s="371"/>
      <c r="GB18" s="370"/>
      <c r="GC18" s="370"/>
      <c r="GD18" s="371"/>
      <c r="GE18" s="371"/>
      <c r="GF18" s="370"/>
      <c r="GG18" s="370"/>
      <c r="GH18" s="371"/>
      <c r="GI18" s="371"/>
      <c r="GJ18" s="370"/>
      <c r="GK18" s="370"/>
      <c r="GL18" s="371"/>
      <c r="GM18" s="371"/>
      <c r="GN18" s="370"/>
      <c r="GO18" s="370"/>
      <c r="GP18" s="371"/>
      <c r="GQ18" s="371"/>
      <c r="GR18" s="370"/>
      <c r="GS18" s="370"/>
    </row>
    <row r="19">
      <c r="A19" s="367" t="s">
        <v>211</v>
      </c>
      <c r="B19" s="371"/>
      <c r="C19" s="371"/>
      <c r="D19" s="370"/>
      <c r="E19" s="370"/>
      <c r="F19" s="371"/>
      <c r="G19" s="371"/>
      <c r="H19" s="370"/>
      <c r="I19" s="370"/>
      <c r="J19" s="371"/>
      <c r="K19" s="371"/>
      <c r="L19" s="370"/>
      <c r="M19" s="370"/>
      <c r="N19" s="371"/>
      <c r="O19" s="371"/>
      <c r="P19" s="370"/>
      <c r="Q19" s="370"/>
      <c r="R19" s="371"/>
      <c r="S19" s="371"/>
      <c r="T19" s="370"/>
      <c r="U19" s="370"/>
      <c r="V19" s="371"/>
      <c r="W19" s="371"/>
      <c r="X19" s="370"/>
      <c r="Y19" s="370"/>
      <c r="Z19" s="371"/>
      <c r="AA19" s="371"/>
      <c r="AB19" s="370"/>
      <c r="AC19" s="370"/>
      <c r="AD19" s="371"/>
      <c r="AE19" s="371"/>
      <c r="AF19" s="370"/>
      <c r="AG19" s="370"/>
      <c r="AH19" s="371"/>
      <c r="AI19" s="371"/>
      <c r="AJ19" s="370"/>
      <c r="AK19" s="370"/>
      <c r="AL19" s="371"/>
      <c r="AM19" s="371"/>
      <c r="AN19" s="370"/>
      <c r="AO19" s="370"/>
      <c r="AP19" s="371"/>
      <c r="AQ19" s="371"/>
      <c r="AR19" s="370"/>
      <c r="AS19" s="370"/>
      <c r="AT19" s="371"/>
      <c r="AU19" s="371"/>
      <c r="AV19" s="370"/>
      <c r="AW19" s="370"/>
      <c r="AX19" s="371"/>
      <c r="AY19" s="371"/>
      <c r="AZ19" s="370"/>
      <c r="BA19" s="370"/>
      <c r="BB19" s="371"/>
      <c r="BC19" s="371"/>
      <c r="BD19" s="370"/>
      <c r="BE19" s="370"/>
      <c r="BF19" s="371"/>
      <c r="BG19" s="371"/>
      <c r="BH19" s="370"/>
      <c r="BI19" s="370"/>
      <c r="BJ19" s="371"/>
      <c r="BK19" s="371"/>
      <c r="BL19" s="370"/>
      <c r="BM19" s="370"/>
      <c r="BN19" s="371"/>
      <c r="BO19" s="371"/>
      <c r="BP19" s="370"/>
      <c r="BQ19" s="370"/>
      <c r="BR19" s="371"/>
      <c r="BS19" s="371"/>
      <c r="BT19" s="370"/>
      <c r="BU19" s="370"/>
      <c r="BV19" s="371"/>
      <c r="BW19" s="371"/>
      <c r="BX19" s="370"/>
      <c r="BY19" s="370"/>
      <c r="BZ19" s="371"/>
      <c r="CA19" s="371"/>
      <c r="CB19" s="370"/>
      <c r="CC19" s="370"/>
      <c r="CD19" s="371"/>
      <c r="CE19" s="371"/>
      <c r="CF19" s="370"/>
      <c r="CG19" s="370"/>
      <c r="CH19" s="371"/>
      <c r="CI19" s="371"/>
      <c r="CJ19" s="370"/>
      <c r="CK19" s="370"/>
      <c r="CL19" s="371"/>
      <c r="CM19" s="371"/>
      <c r="CN19" s="370"/>
      <c r="CO19" s="370"/>
      <c r="CP19" s="371"/>
      <c r="CQ19" s="371"/>
      <c r="CR19" s="370"/>
      <c r="CS19" s="370"/>
      <c r="CT19" s="371"/>
      <c r="CU19" s="371"/>
      <c r="CV19" s="370"/>
      <c r="CW19" s="370"/>
      <c r="CX19" s="371"/>
      <c r="CY19" s="371"/>
      <c r="CZ19" s="370"/>
      <c r="DA19" s="370"/>
      <c r="DB19" s="371"/>
      <c r="DC19" s="371"/>
      <c r="DD19" s="370"/>
      <c r="DE19" s="370"/>
      <c r="DF19" s="371"/>
      <c r="DG19" s="371"/>
      <c r="DH19" s="370"/>
      <c r="DI19" s="370"/>
      <c r="DJ19" s="371"/>
      <c r="DK19" s="371"/>
      <c r="DL19" s="370"/>
      <c r="DM19" s="370"/>
      <c r="DN19" s="371"/>
      <c r="DO19" s="371"/>
      <c r="DP19" s="370"/>
      <c r="DQ19" s="370"/>
      <c r="DR19" s="371"/>
      <c r="DS19" s="371"/>
      <c r="DT19" s="370"/>
      <c r="DU19" s="370"/>
      <c r="DV19" s="371"/>
      <c r="DW19" s="371"/>
      <c r="DX19" s="370"/>
      <c r="DY19" s="370"/>
      <c r="DZ19" s="371"/>
      <c r="EA19" s="371"/>
      <c r="EB19" s="370"/>
      <c r="EC19" s="370"/>
      <c r="ED19" s="371"/>
      <c r="EE19" s="371"/>
      <c r="EF19" s="370"/>
      <c r="EG19" s="370"/>
      <c r="EH19" s="371"/>
      <c r="EI19" s="371"/>
      <c r="EJ19" s="370"/>
      <c r="EK19" s="370"/>
      <c r="EL19" s="371"/>
      <c r="EM19" s="371"/>
      <c r="EN19" s="370"/>
      <c r="EO19" s="370"/>
      <c r="EP19" s="371"/>
      <c r="EQ19" s="371"/>
      <c r="ER19" s="370"/>
      <c r="ES19" s="370"/>
      <c r="ET19" s="371"/>
      <c r="EU19" s="371"/>
      <c r="EV19" s="370"/>
      <c r="EW19" s="370"/>
      <c r="EX19" s="371"/>
      <c r="EY19" s="371"/>
      <c r="EZ19" s="370"/>
      <c r="FA19" s="370"/>
      <c r="FB19" s="371"/>
      <c r="FC19" s="371"/>
      <c r="FD19" s="370"/>
      <c r="FE19" s="370"/>
      <c r="FF19" s="371"/>
      <c r="FG19" s="371"/>
      <c r="FH19" s="370"/>
      <c r="FI19" s="370"/>
      <c r="FJ19" s="371"/>
      <c r="FK19" s="371"/>
      <c r="FL19" s="370"/>
      <c r="FM19" s="370"/>
      <c r="FN19" s="371"/>
      <c r="FO19" s="371"/>
      <c r="FP19" s="370"/>
      <c r="FQ19" s="370"/>
      <c r="FR19" s="371"/>
      <c r="FS19" s="371"/>
      <c r="FT19" s="370"/>
      <c r="FU19" s="370"/>
      <c r="FV19" s="371"/>
      <c r="FW19" s="371"/>
      <c r="FX19" s="370"/>
      <c r="FY19" s="370"/>
      <c r="FZ19" s="371"/>
      <c r="GA19" s="371"/>
      <c r="GB19" s="370"/>
      <c r="GC19" s="370"/>
      <c r="GD19" s="371"/>
      <c r="GE19" s="371"/>
      <c r="GF19" s="370"/>
      <c r="GG19" s="370"/>
      <c r="GH19" s="371"/>
      <c r="GI19" s="371"/>
      <c r="GJ19" s="370"/>
      <c r="GK19" s="370"/>
      <c r="GL19" s="371"/>
      <c r="GM19" s="371"/>
      <c r="GN19" s="370"/>
      <c r="GO19" s="370"/>
      <c r="GP19" s="371"/>
      <c r="GQ19" s="371"/>
      <c r="GR19" s="370"/>
      <c r="GS19" s="370"/>
    </row>
    <row r="20">
      <c r="A20" s="365" t="s">
        <v>212</v>
      </c>
      <c r="B20" s="365"/>
      <c r="C20" s="365"/>
      <c r="D20" s="365"/>
      <c r="E20" s="365"/>
      <c r="F20" s="365"/>
      <c r="G20" s="365"/>
      <c r="H20" s="365"/>
      <c r="I20" s="365"/>
      <c r="J20" s="365"/>
      <c r="K20" s="365"/>
      <c r="L20" s="365"/>
      <c r="M20" s="365"/>
      <c r="N20" s="365"/>
      <c r="O20" s="365"/>
      <c r="P20" s="365"/>
      <c r="Q20" s="365"/>
      <c r="R20" s="365"/>
      <c r="S20" s="365"/>
      <c r="T20" s="365"/>
      <c r="U20" s="365"/>
      <c r="V20" s="365"/>
      <c r="W20" s="365"/>
      <c r="X20" s="365"/>
      <c r="Y20" s="365"/>
      <c r="Z20" s="365"/>
      <c r="AA20" s="365"/>
      <c r="AB20" s="365"/>
      <c r="AC20" s="365"/>
      <c r="AD20" s="365"/>
      <c r="AE20" s="365"/>
      <c r="AF20" s="365"/>
      <c r="AG20" s="365"/>
      <c r="AH20" s="365"/>
      <c r="AI20" s="365"/>
      <c r="AJ20" s="365"/>
      <c r="AK20" s="365"/>
      <c r="AL20" s="365"/>
      <c r="AM20" s="365"/>
      <c r="AN20" s="365"/>
      <c r="AO20" s="365"/>
      <c r="AP20" s="365"/>
      <c r="AQ20" s="365"/>
      <c r="AR20" s="365"/>
      <c r="AS20" s="365"/>
      <c r="AT20" s="365"/>
      <c r="AU20" s="365"/>
      <c r="AV20" s="365"/>
      <c r="AW20" s="365"/>
      <c r="AX20" s="365"/>
      <c r="AY20" s="365"/>
      <c r="AZ20" s="365"/>
      <c r="BA20" s="365"/>
      <c r="BB20" s="365"/>
      <c r="BC20" s="365"/>
      <c r="BD20" s="365"/>
      <c r="BE20" s="365"/>
      <c r="BF20" s="365"/>
      <c r="BG20" s="365"/>
      <c r="BH20" s="365"/>
      <c r="BI20" s="365"/>
      <c r="BJ20" s="365"/>
      <c r="BK20" s="365"/>
      <c r="BL20" s="365"/>
      <c r="BM20" s="365"/>
      <c r="BN20" s="365"/>
      <c r="BO20" s="365"/>
      <c r="BP20" s="365"/>
      <c r="BQ20" s="365"/>
      <c r="BR20" s="365"/>
      <c r="BS20" s="365"/>
      <c r="BT20" s="365"/>
      <c r="BU20" s="365"/>
      <c r="BV20" s="365"/>
      <c r="BW20" s="365"/>
      <c r="BX20" s="365"/>
      <c r="BY20" s="365"/>
      <c r="BZ20" s="365"/>
      <c r="CA20" s="365"/>
      <c r="CB20" s="365"/>
      <c r="CC20" s="365"/>
      <c r="CD20" s="365"/>
      <c r="CE20" s="365"/>
      <c r="CF20" s="365"/>
      <c r="CG20" s="365"/>
      <c r="CH20" s="365"/>
      <c r="CI20" s="365"/>
      <c r="CJ20" s="365"/>
      <c r="CK20" s="365"/>
      <c r="CL20" s="365"/>
      <c r="CM20" s="365"/>
      <c r="CN20" s="365"/>
      <c r="CO20" s="365"/>
      <c r="CP20" s="365"/>
      <c r="CQ20" s="365"/>
      <c r="CR20" s="365"/>
      <c r="CS20" s="365"/>
      <c r="CT20" s="365"/>
      <c r="CU20" s="365"/>
      <c r="CV20" s="365"/>
      <c r="CW20" s="365"/>
      <c r="CX20" s="365"/>
      <c r="CY20" s="365"/>
      <c r="CZ20" s="365"/>
      <c r="DA20" s="365"/>
      <c r="DB20" s="365"/>
      <c r="DC20" s="365"/>
      <c r="DD20" s="365"/>
      <c r="DE20" s="365"/>
      <c r="DF20" s="365"/>
      <c r="DG20" s="365"/>
      <c r="DH20" s="365"/>
      <c r="DI20" s="365"/>
      <c r="DJ20" s="365"/>
      <c r="DK20" s="365"/>
      <c r="DL20" s="365"/>
      <c r="DM20" s="365"/>
      <c r="DN20" s="365"/>
      <c r="DO20" s="365"/>
      <c r="DP20" s="365"/>
      <c r="DQ20" s="365"/>
      <c r="DR20" s="365"/>
      <c r="DS20" s="365"/>
      <c r="DT20" s="365"/>
      <c r="DU20" s="365"/>
      <c r="DV20" s="365"/>
      <c r="DW20" s="365"/>
      <c r="DX20" s="365"/>
      <c r="DY20" s="365"/>
      <c r="DZ20" s="365"/>
      <c r="EA20" s="365"/>
      <c r="EB20" s="365"/>
      <c r="EC20" s="365"/>
      <c r="ED20" s="365"/>
      <c r="EE20" s="365"/>
      <c r="EF20" s="365"/>
      <c r="EG20" s="365"/>
      <c r="EH20" s="365"/>
      <c r="EI20" s="365"/>
      <c r="EJ20" s="365"/>
      <c r="EK20" s="365"/>
      <c r="EL20" s="365"/>
      <c r="EM20" s="365"/>
      <c r="EN20" s="365"/>
      <c r="EO20" s="365"/>
      <c r="EP20" s="365"/>
      <c r="EQ20" s="365"/>
      <c r="ER20" s="365"/>
      <c r="ES20" s="365"/>
      <c r="ET20" s="365"/>
      <c r="EU20" s="365"/>
      <c r="EV20" s="365"/>
      <c r="EW20" s="365"/>
      <c r="EX20" s="365"/>
      <c r="EY20" s="365"/>
      <c r="EZ20" s="365"/>
      <c r="FA20" s="365"/>
      <c r="FB20" s="365"/>
      <c r="FC20" s="365"/>
      <c r="FD20" s="365"/>
      <c r="FE20" s="365"/>
      <c r="FF20" s="365"/>
      <c r="FG20" s="365"/>
      <c r="FH20" s="365"/>
      <c r="FI20" s="365"/>
      <c r="FJ20" s="365"/>
      <c r="FK20" s="365"/>
      <c r="FL20" s="365"/>
      <c r="FM20" s="365"/>
      <c r="FN20" s="365"/>
      <c r="FO20" s="365"/>
      <c r="FP20" s="365"/>
      <c r="FQ20" s="365"/>
      <c r="FR20" s="365"/>
      <c r="FS20" s="365"/>
      <c r="FT20" s="365"/>
      <c r="FU20" s="365"/>
      <c r="FV20" s="365"/>
      <c r="FW20" s="365"/>
      <c r="FX20" s="365"/>
      <c r="FY20" s="365"/>
      <c r="FZ20" s="365"/>
      <c r="GA20" s="365"/>
      <c r="GB20" s="365"/>
      <c r="GC20" s="365"/>
      <c r="GD20" s="365"/>
      <c r="GE20" s="365"/>
      <c r="GF20" s="365"/>
      <c r="GG20" s="365"/>
      <c r="GH20" s="365"/>
      <c r="GI20" s="365"/>
      <c r="GJ20" s="365"/>
      <c r="GK20" s="365"/>
      <c r="GL20" s="365"/>
      <c r="GM20" s="365"/>
      <c r="GN20" s="365"/>
      <c r="GO20" s="365"/>
      <c r="GP20" s="365"/>
      <c r="GQ20" s="365"/>
      <c r="GR20" s="365"/>
      <c r="GS20" s="365"/>
    </row>
    <row r="21">
      <c r="A21" s="367" t="s">
        <v>213</v>
      </c>
      <c r="B21" s="371"/>
      <c r="C21" s="371"/>
      <c r="D21" s="370"/>
      <c r="E21" s="370"/>
      <c r="F21" s="371"/>
      <c r="G21" s="371"/>
      <c r="H21" s="370"/>
      <c r="I21" s="370"/>
      <c r="J21" s="371"/>
      <c r="K21" s="371"/>
      <c r="L21" s="370"/>
      <c r="M21" s="370"/>
      <c r="N21" s="371"/>
      <c r="O21" s="371"/>
      <c r="P21" s="370"/>
      <c r="Q21" s="370"/>
      <c r="R21" s="371"/>
      <c r="S21" s="371"/>
      <c r="T21" s="370"/>
      <c r="U21" s="370"/>
      <c r="V21" s="371"/>
      <c r="W21" s="371"/>
      <c r="X21" s="370"/>
      <c r="Y21" s="370"/>
      <c r="Z21" s="371"/>
      <c r="AA21" s="371"/>
      <c r="AB21" s="370"/>
      <c r="AC21" s="370"/>
      <c r="AD21" s="371"/>
      <c r="AE21" s="371"/>
      <c r="AF21" s="370"/>
      <c r="AG21" s="370"/>
      <c r="AH21" s="371"/>
      <c r="AI21" s="371"/>
      <c r="AJ21" s="370"/>
      <c r="AK21" s="370"/>
      <c r="AL21" s="371"/>
      <c r="AM21" s="371"/>
      <c r="AN21" s="370"/>
      <c r="AO21" s="370"/>
      <c r="AP21" s="371"/>
      <c r="AQ21" s="371"/>
      <c r="AR21" s="370"/>
      <c r="AS21" s="370"/>
      <c r="AT21" s="371"/>
      <c r="AU21" s="371"/>
      <c r="AV21" s="370"/>
      <c r="AW21" s="370"/>
      <c r="AX21" s="371"/>
      <c r="AY21" s="371"/>
      <c r="AZ21" s="370"/>
      <c r="BA21" s="370"/>
      <c r="BB21" s="371"/>
      <c r="BC21" s="371"/>
      <c r="BD21" s="370"/>
      <c r="BE21" s="370"/>
      <c r="BF21" s="371"/>
      <c r="BG21" s="371"/>
      <c r="BH21" s="370"/>
      <c r="BI21" s="370"/>
      <c r="BJ21" s="371"/>
      <c r="BK21" s="371"/>
      <c r="BL21" s="370"/>
      <c r="BM21" s="370"/>
      <c r="BN21" s="371"/>
      <c r="BO21" s="371"/>
      <c r="BP21" s="370"/>
      <c r="BQ21" s="370"/>
      <c r="BR21" s="371"/>
      <c r="BS21" s="371"/>
      <c r="BT21" s="370"/>
      <c r="BU21" s="370"/>
      <c r="BV21" s="371"/>
      <c r="BW21" s="371"/>
      <c r="BX21" s="370"/>
      <c r="BY21" s="370"/>
      <c r="BZ21" s="371"/>
      <c r="CA21" s="371"/>
      <c r="CB21" s="370"/>
      <c r="CC21" s="370"/>
      <c r="CD21" s="371"/>
      <c r="CE21" s="371"/>
      <c r="CF21" s="370"/>
      <c r="CG21" s="370"/>
      <c r="CH21" s="371"/>
      <c r="CI21" s="371"/>
      <c r="CJ21" s="370"/>
      <c r="CK21" s="370"/>
      <c r="CL21" s="371"/>
      <c r="CM21" s="371"/>
      <c r="CN21" s="370"/>
      <c r="CO21" s="370"/>
      <c r="CP21" s="371"/>
      <c r="CQ21" s="371"/>
      <c r="CR21" s="370"/>
      <c r="CS21" s="370"/>
      <c r="CT21" s="371"/>
      <c r="CU21" s="371"/>
      <c r="CV21" s="370"/>
      <c r="CW21" s="370"/>
      <c r="CX21" s="371"/>
      <c r="CY21" s="371"/>
      <c r="CZ21" s="370"/>
      <c r="DA21" s="370"/>
      <c r="DB21" s="371"/>
      <c r="DC21" s="371"/>
      <c r="DD21" s="370"/>
      <c r="DE21" s="370"/>
      <c r="DF21" s="371"/>
      <c r="DG21" s="371"/>
      <c r="DH21" s="370"/>
      <c r="DI21" s="370"/>
      <c r="DJ21" s="371"/>
      <c r="DK21" s="371"/>
      <c r="DL21" s="370"/>
      <c r="DM21" s="370"/>
      <c r="DN21" s="371"/>
      <c r="DO21" s="371"/>
      <c r="DP21" s="370"/>
      <c r="DQ21" s="370"/>
      <c r="DR21" s="371"/>
      <c r="DS21" s="371"/>
      <c r="DT21" s="370"/>
      <c r="DU21" s="370"/>
      <c r="DV21" s="371"/>
      <c r="DW21" s="371"/>
      <c r="DX21" s="370"/>
      <c r="DY21" s="370"/>
      <c r="DZ21" s="371"/>
      <c r="EA21" s="371"/>
      <c r="EB21" s="370"/>
      <c r="EC21" s="370"/>
      <c r="ED21" s="371"/>
      <c r="EE21" s="371"/>
      <c r="EF21" s="370"/>
      <c r="EG21" s="370"/>
      <c r="EH21" s="371"/>
      <c r="EI21" s="371"/>
      <c r="EJ21" s="370"/>
      <c r="EK21" s="370"/>
      <c r="EL21" s="371"/>
      <c r="EM21" s="371"/>
      <c r="EN21" s="370"/>
      <c r="EO21" s="370"/>
      <c r="EP21" s="371"/>
      <c r="EQ21" s="371"/>
      <c r="ER21" s="370"/>
      <c r="ES21" s="370"/>
      <c r="ET21" s="371"/>
      <c r="EU21" s="371"/>
      <c r="EV21" s="370"/>
      <c r="EW21" s="370"/>
      <c r="EX21" s="371"/>
      <c r="EY21" s="371"/>
      <c r="EZ21" s="370"/>
      <c r="FA21" s="370"/>
      <c r="FB21" s="371"/>
      <c r="FC21" s="371"/>
      <c r="FD21" s="370"/>
      <c r="FE21" s="370"/>
      <c r="FF21" s="371"/>
      <c r="FG21" s="371"/>
      <c r="FH21" s="370"/>
      <c r="FI21" s="370"/>
      <c r="FJ21" s="371"/>
      <c r="FK21" s="371"/>
      <c r="FL21" s="370"/>
      <c r="FM21" s="370"/>
      <c r="FN21" s="371"/>
      <c r="FO21" s="371"/>
      <c r="FP21" s="370"/>
      <c r="FQ21" s="370"/>
      <c r="FR21" s="371"/>
      <c r="FS21" s="371"/>
      <c r="FT21" s="370"/>
      <c r="FU21" s="370"/>
      <c r="FV21" s="371"/>
      <c r="FW21" s="371"/>
      <c r="FX21" s="370"/>
      <c r="FY21" s="370"/>
      <c r="FZ21" s="371"/>
      <c r="GA21" s="371"/>
      <c r="GB21" s="370"/>
      <c r="GC21" s="370"/>
      <c r="GD21" s="371"/>
      <c r="GE21" s="371"/>
      <c r="GF21" s="370"/>
      <c r="GG21" s="370"/>
      <c r="GH21" s="371"/>
      <c r="GI21" s="371"/>
      <c r="GJ21" s="370"/>
      <c r="GK21" s="370"/>
      <c r="GL21" s="371"/>
      <c r="GM21" s="371"/>
      <c r="GN21" s="370"/>
      <c r="GO21" s="370"/>
      <c r="GP21" s="371"/>
      <c r="GQ21" s="371"/>
      <c r="GR21" s="370"/>
      <c r="GS21" s="370"/>
    </row>
    <row r="22">
      <c r="A22" s="367" t="s">
        <v>214</v>
      </c>
      <c r="B22" s="371"/>
      <c r="C22" s="371"/>
      <c r="D22" s="370"/>
      <c r="E22" s="370"/>
      <c r="F22" s="371"/>
      <c r="G22" s="371"/>
      <c r="H22" s="370"/>
      <c r="I22" s="370"/>
      <c r="J22" s="371"/>
      <c r="K22" s="371"/>
      <c r="L22" s="370"/>
      <c r="M22" s="370"/>
      <c r="N22" s="371"/>
      <c r="O22" s="371"/>
      <c r="P22" s="370"/>
      <c r="Q22" s="370"/>
      <c r="R22" s="371"/>
      <c r="S22" s="371"/>
      <c r="T22" s="370"/>
      <c r="U22" s="370"/>
      <c r="V22" s="371"/>
      <c r="W22" s="371"/>
      <c r="X22" s="370"/>
      <c r="Y22" s="370"/>
      <c r="Z22" s="371"/>
      <c r="AA22" s="371"/>
      <c r="AB22" s="370"/>
      <c r="AC22" s="370"/>
      <c r="AD22" s="371"/>
      <c r="AE22" s="371"/>
      <c r="AF22" s="370"/>
      <c r="AG22" s="370"/>
      <c r="AH22" s="371"/>
      <c r="AI22" s="371"/>
      <c r="AJ22" s="370"/>
      <c r="AK22" s="370"/>
      <c r="AL22" s="371"/>
      <c r="AM22" s="371"/>
      <c r="AN22" s="370"/>
      <c r="AO22" s="370"/>
      <c r="AP22" s="371"/>
      <c r="AQ22" s="371"/>
      <c r="AR22" s="370"/>
      <c r="AS22" s="370"/>
      <c r="AT22" s="371"/>
      <c r="AU22" s="371"/>
      <c r="AV22" s="370"/>
      <c r="AW22" s="370"/>
      <c r="AX22" s="371"/>
      <c r="AY22" s="371"/>
      <c r="AZ22" s="370"/>
      <c r="BA22" s="370"/>
      <c r="BB22" s="371"/>
      <c r="BC22" s="371"/>
      <c r="BD22" s="370"/>
      <c r="BE22" s="370"/>
      <c r="BF22" s="371"/>
      <c r="BG22" s="371"/>
      <c r="BH22" s="370"/>
      <c r="BI22" s="370"/>
      <c r="BJ22" s="371"/>
      <c r="BK22" s="371"/>
      <c r="BL22" s="370"/>
      <c r="BM22" s="370"/>
      <c r="BN22" s="371"/>
      <c r="BO22" s="371"/>
      <c r="BP22" s="370"/>
      <c r="BQ22" s="370"/>
      <c r="BR22" s="371"/>
      <c r="BS22" s="371"/>
      <c r="BT22" s="370"/>
      <c r="BU22" s="370"/>
      <c r="BV22" s="371"/>
      <c r="BW22" s="371"/>
      <c r="BX22" s="370"/>
      <c r="BY22" s="370"/>
      <c r="BZ22" s="371"/>
      <c r="CA22" s="371"/>
      <c r="CB22" s="370"/>
      <c r="CC22" s="370"/>
      <c r="CD22" s="371"/>
      <c r="CE22" s="371"/>
      <c r="CF22" s="370"/>
      <c r="CG22" s="370"/>
      <c r="CH22" s="371"/>
      <c r="CI22" s="371"/>
      <c r="CJ22" s="370"/>
      <c r="CK22" s="370"/>
      <c r="CL22" s="371"/>
      <c r="CM22" s="371"/>
      <c r="CN22" s="370"/>
      <c r="CO22" s="370"/>
      <c r="CP22" s="371"/>
      <c r="CQ22" s="371"/>
      <c r="CR22" s="370"/>
      <c r="CS22" s="370"/>
      <c r="CT22" s="371"/>
      <c r="CU22" s="371"/>
      <c r="CV22" s="370"/>
      <c r="CW22" s="370"/>
      <c r="CX22" s="371"/>
      <c r="CY22" s="371"/>
      <c r="CZ22" s="370"/>
      <c r="DA22" s="370"/>
      <c r="DB22" s="371"/>
      <c r="DC22" s="371"/>
      <c r="DD22" s="370"/>
      <c r="DE22" s="370"/>
      <c r="DF22" s="371"/>
      <c r="DG22" s="371"/>
      <c r="DH22" s="370"/>
      <c r="DI22" s="370"/>
      <c r="DJ22" s="371"/>
      <c r="DK22" s="371"/>
      <c r="DL22" s="370"/>
      <c r="DM22" s="370"/>
      <c r="DN22" s="371"/>
      <c r="DO22" s="371"/>
      <c r="DP22" s="370"/>
      <c r="DQ22" s="370"/>
      <c r="DR22" s="371"/>
      <c r="DS22" s="371"/>
      <c r="DT22" s="370"/>
      <c r="DU22" s="370"/>
      <c r="DV22" s="371"/>
      <c r="DW22" s="371"/>
      <c r="DX22" s="370"/>
      <c r="DY22" s="370"/>
      <c r="DZ22" s="371"/>
      <c r="EA22" s="371"/>
      <c r="EB22" s="370"/>
      <c r="EC22" s="370"/>
      <c r="ED22" s="371"/>
      <c r="EE22" s="371"/>
      <c r="EF22" s="370"/>
      <c r="EG22" s="370"/>
      <c r="EH22" s="371"/>
      <c r="EI22" s="371"/>
      <c r="EJ22" s="370"/>
      <c r="EK22" s="370"/>
      <c r="EL22" s="371"/>
      <c r="EM22" s="371"/>
      <c r="EN22" s="370"/>
      <c r="EO22" s="370"/>
      <c r="EP22" s="371"/>
      <c r="EQ22" s="371"/>
      <c r="ER22" s="370"/>
      <c r="ES22" s="370"/>
      <c r="ET22" s="371"/>
      <c r="EU22" s="371"/>
      <c r="EV22" s="370"/>
      <c r="EW22" s="370"/>
      <c r="EX22" s="371"/>
      <c r="EY22" s="371"/>
      <c r="EZ22" s="370"/>
      <c r="FA22" s="370"/>
      <c r="FB22" s="371"/>
      <c r="FC22" s="371"/>
      <c r="FD22" s="370"/>
      <c r="FE22" s="370"/>
      <c r="FF22" s="371"/>
      <c r="FG22" s="371"/>
      <c r="FH22" s="370"/>
      <c r="FI22" s="370"/>
      <c r="FJ22" s="371"/>
      <c r="FK22" s="371"/>
      <c r="FL22" s="370"/>
      <c r="FM22" s="370"/>
      <c r="FN22" s="371"/>
      <c r="FO22" s="371"/>
      <c r="FP22" s="370"/>
      <c r="FQ22" s="370"/>
      <c r="FR22" s="371"/>
      <c r="FS22" s="371"/>
      <c r="FT22" s="370"/>
      <c r="FU22" s="370"/>
      <c r="FV22" s="371"/>
      <c r="FW22" s="371"/>
      <c r="FX22" s="370"/>
      <c r="FY22" s="370"/>
      <c r="FZ22" s="371"/>
      <c r="GA22" s="371"/>
      <c r="GB22" s="370"/>
      <c r="GC22" s="370"/>
      <c r="GD22" s="371"/>
      <c r="GE22" s="371"/>
      <c r="GF22" s="370"/>
      <c r="GG22" s="370"/>
      <c r="GH22" s="371"/>
      <c r="GI22" s="371"/>
      <c r="GJ22" s="370"/>
      <c r="GK22" s="370"/>
      <c r="GL22" s="371"/>
      <c r="GM22" s="371"/>
      <c r="GN22" s="370"/>
      <c r="GO22" s="370"/>
      <c r="GP22" s="371"/>
      <c r="GQ22" s="371"/>
      <c r="GR22" s="370"/>
      <c r="GS22" s="370"/>
    </row>
    <row r="23">
      <c r="A23" s="367" t="s">
        <v>215</v>
      </c>
      <c r="B23" s="371"/>
      <c r="C23" s="371"/>
      <c r="D23" s="370"/>
      <c r="E23" s="370"/>
      <c r="F23" s="371"/>
      <c r="G23" s="371"/>
      <c r="H23" s="370"/>
      <c r="I23" s="370"/>
      <c r="J23" s="371"/>
      <c r="K23" s="371"/>
      <c r="L23" s="370"/>
      <c r="M23" s="370"/>
      <c r="N23" s="371"/>
      <c r="O23" s="371"/>
      <c r="P23" s="370"/>
      <c r="Q23" s="370"/>
      <c r="R23" s="371"/>
      <c r="S23" s="371"/>
      <c r="T23" s="370"/>
      <c r="U23" s="370"/>
      <c r="V23" s="371"/>
      <c r="W23" s="371"/>
      <c r="X23" s="370"/>
      <c r="Y23" s="370"/>
      <c r="Z23" s="371"/>
      <c r="AA23" s="371"/>
      <c r="AB23" s="370"/>
      <c r="AC23" s="370"/>
      <c r="AD23" s="371"/>
      <c r="AE23" s="371"/>
      <c r="AF23" s="370"/>
      <c r="AG23" s="370"/>
      <c r="AH23" s="371"/>
      <c r="AI23" s="371"/>
      <c r="AJ23" s="370"/>
      <c r="AK23" s="370"/>
      <c r="AL23" s="371"/>
      <c r="AM23" s="371"/>
      <c r="AN23" s="370"/>
      <c r="AO23" s="370"/>
      <c r="AP23" s="371"/>
      <c r="AQ23" s="371"/>
      <c r="AR23" s="370"/>
      <c r="AS23" s="370"/>
      <c r="AT23" s="371"/>
      <c r="AU23" s="371"/>
      <c r="AV23" s="370"/>
      <c r="AW23" s="370"/>
      <c r="AX23" s="371"/>
      <c r="AY23" s="371"/>
      <c r="AZ23" s="370"/>
      <c r="BA23" s="370"/>
      <c r="BB23" s="371"/>
      <c r="BC23" s="371"/>
      <c r="BD23" s="370"/>
      <c r="BE23" s="370"/>
      <c r="BF23" s="371"/>
      <c r="BG23" s="371"/>
      <c r="BH23" s="370"/>
      <c r="BI23" s="370"/>
      <c r="BJ23" s="371"/>
      <c r="BK23" s="371"/>
      <c r="BL23" s="370"/>
      <c r="BM23" s="370"/>
      <c r="BN23" s="371"/>
      <c r="BO23" s="371"/>
      <c r="BP23" s="370"/>
      <c r="BQ23" s="370"/>
      <c r="BR23" s="371"/>
      <c r="BS23" s="371"/>
      <c r="BT23" s="370"/>
      <c r="BU23" s="370"/>
      <c r="BV23" s="371"/>
      <c r="BW23" s="371"/>
      <c r="BX23" s="370"/>
      <c r="BY23" s="370"/>
      <c r="BZ23" s="371"/>
      <c r="CA23" s="371"/>
      <c r="CB23" s="370"/>
      <c r="CC23" s="370"/>
      <c r="CD23" s="371"/>
      <c r="CE23" s="371"/>
      <c r="CF23" s="370"/>
      <c r="CG23" s="370"/>
      <c r="CH23" s="371"/>
      <c r="CI23" s="371"/>
      <c r="CJ23" s="370"/>
      <c r="CK23" s="370"/>
      <c r="CL23" s="371"/>
      <c r="CM23" s="371"/>
      <c r="CN23" s="370"/>
      <c r="CO23" s="370"/>
      <c r="CP23" s="371"/>
      <c r="CQ23" s="371"/>
      <c r="CR23" s="370"/>
      <c r="CS23" s="370"/>
      <c r="CT23" s="371"/>
      <c r="CU23" s="371"/>
      <c r="CV23" s="370"/>
      <c r="CW23" s="370"/>
      <c r="CX23" s="371"/>
      <c r="CY23" s="371"/>
      <c r="CZ23" s="370"/>
      <c r="DA23" s="370"/>
      <c r="DB23" s="371"/>
      <c r="DC23" s="371"/>
      <c r="DD23" s="370"/>
      <c r="DE23" s="370"/>
      <c r="DF23" s="371"/>
      <c r="DG23" s="371"/>
      <c r="DH23" s="370"/>
      <c r="DI23" s="370"/>
      <c r="DJ23" s="371"/>
      <c r="DK23" s="371"/>
      <c r="DL23" s="370"/>
      <c r="DM23" s="370"/>
      <c r="DN23" s="371"/>
      <c r="DO23" s="371"/>
      <c r="DP23" s="370"/>
      <c r="DQ23" s="370"/>
      <c r="DR23" s="371"/>
      <c r="DS23" s="371"/>
      <c r="DT23" s="370"/>
      <c r="DU23" s="370"/>
      <c r="DV23" s="371"/>
      <c r="DW23" s="371"/>
      <c r="DX23" s="370"/>
      <c r="DY23" s="370"/>
      <c r="DZ23" s="371"/>
      <c r="EA23" s="371"/>
      <c r="EB23" s="370"/>
      <c r="EC23" s="370"/>
      <c r="ED23" s="371"/>
      <c r="EE23" s="371"/>
      <c r="EF23" s="370"/>
      <c r="EG23" s="370"/>
      <c r="EH23" s="371"/>
      <c r="EI23" s="371"/>
      <c r="EJ23" s="370"/>
      <c r="EK23" s="370"/>
      <c r="EL23" s="371"/>
      <c r="EM23" s="371"/>
      <c r="EN23" s="370"/>
      <c r="EO23" s="370"/>
      <c r="EP23" s="371"/>
      <c r="EQ23" s="371"/>
      <c r="ER23" s="370"/>
      <c r="ES23" s="370"/>
      <c r="ET23" s="371"/>
      <c r="EU23" s="371"/>
      <c r="EV23" s="370"/>
      <c r="EW23" s="370"/>
      <c r="EX23" s="371"/>
      <c r="EY23" s="371"/>
      <c r="EZ23" s="370"/>
      <c r="FA23" s="370"/>
      <c r="FB23" s="371"/>
      <c r="FC23" s="371"/>
      <c r="FD23" s="370"/>
      <c r="FE23" s="370"/>
      <c r="FF23" s="371"/>
      <c r="FG23" s="371"/>
      <c r="FH23" s="370"/>
      <c r="FI23" s="370"/>
      <c r="FJ23" s="371"/>
      <c r="FK23" s="371"/>
      <c r="FL23" s="370"/>
      <c r="FM23" s="370"/>
      <c r="FN23" s="371"/>
      <c r="FO23" s="371"/>
      <c r="FP23" s="370"/>
      <c r="FQ23" s="370"/>
      <c r="FR23" s="371"/>
      <c r="FS23" s="371"/>
      <c r="FT23" s="370"/>
      <c r="FU23" s="370"/>
      <c r="FV23" s="371"/>
      <c r="FW23" s="371"/>
      <c r="FX23" s="370"/>
      <c r="FY23" s="370"/>
      <c r="FZ23" s="371"/>
      <c r="GA23" s="371"/>
      <c r="GB23" s="370"/>
      <c r="GC23" s="370"/>
      <c r="GD23" s="371"/>
      <c r="GE23" s="371"/>
      <c r="GF23" s="370"/>
      <c r="GG23" s="370"/>
      <c r="GH23" s="371"/>
      <c r="GI23" s="371"/>
      <c r="GJ23" s="370"/>
      <c r="GK23" s="370"/>
      <c r="GL23" s="371"/>
      <c r="GM23" s="371"/>
      <c r="GN23" s="370"/>
      <c r="GO23" s="370"/>
      <c r="GP23" s="371"/>
      <c r="GQ23" s="371"/>
      <c r="GR23" s="370"/>
      <c r="GS23" s="370"/>
    </row>
    <row r="24">
      <c r="A24" s="375"/>
      <c r="D24" s="376"/>
      <c r="E24" s="376"/>
      <c r="H24" s="376"/>
      <c r="I24" s="376"/>
      <c r="L24" s="376"/>
      <c r="M24" s="376"/>
      <c r="P24" s="376"/>
      <c r="Q24" s="376"/>
      <c r="R24" s="376"/>
      <c r="S24" s="376"/>
      <c r="T24" s="376"/>
      <c r="U24" s="376"/>
      <c r="V24" s="376"/>
      <c r="W24" s="376"/>
      <c r="X24" s="376"/>
      <c r="Y24" s="376"/>
      <c r="Z24" s="376"/>
      <c r="AA24" s="376"/>
      <c r="AB24" s="376"/>
      <c r="AC24" s="376"/>
      <c r="AD24" s="376"/>
      <c r="AE24" s="376"/>
      <c r="AF24" s="376"/>
      <c r="AG24" s="376"/>
      <c r="AH24" s="376"/>
      <c r="AI24" s="376"/>
      <c r="AJ24" s="376"/>
      <c r="AK24" s="376"/>
      <c r="AL24" s="376"/>
      <c r="AM24" s="376"/>
      <c r="AN24" s="376"/>
      <c r="AO24" s="376"/>
      <c r="AP24" s="376"/>
      <c r="AQ24" s="376"/>
      <c r="AR24" s="376"/>
      <c r="AS24" s="376"/>
      <c r="AT24" s="376"/>
      <c r="AU24" s="376"/>
      <c r="AV24" s="376"/>
      <c r="AW24" s="376"/>
      <c r="AX24" s="376"/>
      <c r="AY24" s="376"/>
      <c r="AZ24" s="376"/>
      <c r="BA24" s="376"/>
      <c r="BB24" s="376"/>
      <c r="BC24" s="376"/>
      <c r="BD24" s="376"/>
      <c r="BE24" s="376"/>
      <c r="BF24" s="376"/>
      <c r="BG24" s="376"/>
      <c r="BH24" s="376"/>
      <c r="BI24" s="376"/>
      <c r="BJ24" s="376"/>
      <c r="BK24" s="376"/>
      <c r="BL24" s="376"/>
      <c r="BM24" s="376"/>
      <c r="BN24" s="376"/>
      <c r="BO24" s="376"/>
      <c r="BP24" s="376"/>
      <c r="BQ24" s="376"/>
      <c r="BR24" s="376"/>
      <c r="BS24" s="376"/>
      <c r="BT24" s="376"/>
      <c r="BU24" s="376"/>
      <c r="BV24" s="376"/>
      <c r="BW24" s="376"/>
      <c r="BX24" s="376"/>
      <c r="BY24" s="376"/>
      <c r="BZ24" s="376"/>
      <c r="CA24" s="376"/>
      <c r="CB24" s="376"/>
      <c r="CC24" s="376"/>
      <c r="CD24" s="376"/>
      <c r="CE24" s="376"/>
      <c r="CF24" s="376"/>
      <c r="CG24" s="376"/>
      <c r="CH24" s="376"/>
      <c r="CI24" s="376"/>
      <c r="CJ24" s="376"/>
      <c r="CK24" s="376"/>
      <c r="CL24" s="376"/>
      <c r="CM24" s="376"/>
      <c r="CN24" s="376"/>
      <c r="CO24" s="376"/>
      <c r="CP24" s="376"/>
      <c r="CQ24" s="376"/>
      <c r="CR24" s="376"/>
      <c r="CS24" s="376"/>
      <c r="CT24" s="376"/>
      <c r="CU24" s="376"/>
      <c r="CV24" s="376"/>
      <c r="CW24" s="376"/>
      <c r="CX24" s="376"/>
      <c r="CY24" s="376"/>
      <c r="CZ24" s="376"/>
      <c r="DA24" s="376"/>
      <c r="DB24" s="376"/>
      <c r="DC24" s="376"/>
      <c r="DD24" s="376"/>
      <c r="DE24" s="376"/>
      <c r="DF24" s="376"/>
      <c r="DG24" s="376"/>
      <c r="DH24" s="376"/>
      <c r="DI24" s="376"/>
      <c r="DJ24" s="376"/>
      <c r="DK24" s="376"/>
      <c r="DL24" s="376"/>
      <c r="DM24" s="376"/>
      <c r="DN24" s="376"/>
      <c r="DO24" s="376"/>
      <c r="DP24" s="376"/>
      <c r="DQ24" s="376"/>
      <c r="DR24" s="376"/>
      <c r="DS24" s="376"/>
      <c r="DT24" s="376"/>
      <c r="DU24" s="376"/>
      <c r="DV24" s="376"/>
      <c r="DW24" s="376"/>
      <c r="DX24" s="376"/>
      <c r="DY24" s="376"/>
      <c r="DZ24" s="376"/>
      <c r="EA24" s="376"/>
      <c r="EB24" s="376"/>
      <c r="EC24" s="376"/>
      <c r="ED24" s="376"/>
      <c r="EE24" s="376"/>
      <c r="EF24" s="376"/>
      <c r="EG24" s="376"/>
      <c r="EH24" s="376"/>
      <c r="EI24" s="376"/>
      <c r="EJ24" s="376"/>
      <c r="EK24" s="376"/>
      <c r="EL24" s="376"/>
      <c r="EM24" s="376"/>
      <c r="EN24" s="376"/>
      <c r="EO24" s="376"/>
      <c r="EP24" s="376"/>
      <c r="EQ24" s="376"/>
      <c r="ER24" s="376"/>
      <c r="ES24" s="376"/>
      <c r="ET24" s="376"/>
      <c r="EU24" s="376"/>
      <c r="EV24" s="376"/>
      <c r="EW24" s="376"/>
      <c r="EX24" s="376"/>
      <c r="EY24" s="376"/>
      <c r="EZ24" s="376"/>
      <c r="FA24" s="376"/>
      <c r="FB24" s="376"/>
      <c r="FC24" s="376"/>
      <c r="FD24" s="376"/>
      <c r="FE24" s="376"/>
      <c r="FF24" s="376"/>
      <c r="FG24" s="376"/>
      <c r="FH24" s="376"/>
      <c r="FI24" s="376"/>
      <c r="FJ24" s="376"/>
      <c r="FK24" s="376"/>
      <c r="FL24" s="376"/>
      <c r="FM24" s="376"/>
      <c r="FN24" s="376"/>
      <c r="FO24" s="376"/>
      <c r="FP24" s="376"/>
      <c r="FQ24" s="376"/>
      <c r="FR24" s="376"/>
      <c r="FS24" s="376"/>
      <c r="FT24" s="376"/>
      <c r="FU24" s="376"/>
      <c r="FV24" s="376"/>
      <c r="FW24" s="376"/>
      <c r="FX24" s="376"/>
      <c r="FY24" s="376"/>
      <c r="FZ24" s="376"/>
      <c r="GA24" s="376"/>
      <c r="GB24" s="376"/>
      <c r="GC24" s="376"/>
      <c r="GD24" s="376"/>
      <c r="GE24" s="376"/>
      <c r="GF24" s="376"/>
      <c r="GG24" s="376"/>
      <c r="GH24" s="376"/>
      <c r="GI24" s="376"/>
      <c r="GJ24" s="376"/>
      <c r="GK24" s="376"/>
      <c r="GL24" s="376"/>
      <c r="GM24" s="376"/>
      <c r="GN24" s="376"/>
      <c r="GO24" s="376"/>
      <c r="GP24" s="376"/>
      <c r="GQ24" s="376"/>
      <c r="GR24" s="376"/>
      <c r="GS24" s="376"/>
    </row>
  </sheetData>
  <mergeCells count="101">
    <mergeCell ref="CT1:CU1"/>
    <mergeCell ref="CV1:CW1"/>
    <mergeCell ref="CX1:CY1"/>
    <mergeCell ref="CZ1:DA1"/>
    <mergeCell ref="DB1:DC1"/>
    <mergeCell ref="DD1:DE1"/>
    <mergeCell ref="DF1:DG1"/>
    <mergeCell ref="DH1:DI1"/>
    <mergeCell ref="DJ1:DK1"/>
    <mergeCell ref="DL1:DM1"/>
    <mergeCell ref="DN1:DO1"/>
    <mergeCell ref="DP1:DQ1"/>
    <mergeCell ref="DR1:DS1"/>
    <mergeCell ref="DT1:DU1"/>
    <mergeCell ref="DV1:DW1"/>
    <mergeCell ref="DX1:DY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FN1:FO1"/>
    <mergeCell ref="FP1:FQ1"/>
    <mergeCell ref="FR1:FS1"/>
    <mergeCell ref="FT1:FU1"/>
    <mergeCell ref="FV1:FW1"/>
    <mergeCell ref="FX1:FY1"/>
    <mergeCell ref="GN1:GO1"/>
    <mergeCell ref="GP1:GQ1"/>
    <mergeCell ref="GR1:GS1"/>
    <mergeCell ref="FZ1:GA1"/>
    <mergeCell ref="GB1:GC1"/>
    <mergeCell ref="GD1:GE1"/>
    <mergeCell ref="GF1:GG1"/>
    <mergeCell ref="GH1:GI1"/>
    <mergeCell ref="GJ1:GK1"/>
    <mergeCell ref="GL1:GM1"/>
    <mergeCell ref="A1:A2"/>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s>
  <conditionalFormatting sqref="B4:GS7">
    <cfRule type="expression" dxfId="20" priority="1">
      <formula>ifcolor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0.75"/>
    <col customWidth="1" min="2" max="201" width="3.88"/>
  </cols>
  <sheetData>
    <row r="1">
      <c r="A1" s="379" t="s">
        <v>216</v>
      </c>
      <c r="B1" s="381"/>
      <c r="D1" s="360"/>
      <c r="F1" s="359"/>
      <c r="H1" s="358"/>
      <c r="J1" s="359"/>
      <c r="L1" s="358"/>
      <c r="N1" s="359"/>
      <c r="P1" s="360"/>
      <c r="R1" s="361"/>
      <c r="T1" s="360"/>
      <c r="V1" s="359"/>
      <c r="X1" s="358"/>
      <c r="Z1" s="359"/>
      <c r="AB1" s="358"/>
      <c r="AD1" s="359"/>
      <c r="AF1" s="360"/>
      <c r="AH1" s="361"/>
      <c r="AJ1" s="360"/>
      <c r="AL1" s="359"/>
      <c r="AN1" s="358"/>
      <c r="AP1" s="359"/>
      <c r="AR1" s="358"/>
      <c r="AT1" s="359"/>
      <c r="AV1" s="360"/>
      <c r="AX1" s="361"/>
      <c r="AZ1" s="360"/>
      <c r="BB1" s="359"/>
      <c r="BD1" s="358"/>
      <c r="BF1" s="359"/>
      <c r="BH1" s="358"/>
      <c r="BJ1" s="359"/>
      <c r="BL1" s="360"/>
      <c r="BN1" s="361"/>
      <c r="BP1" s="360"/>
      <c r="BR1" s="359"/>
      <c r="BT1" s="358"/>
      <c r="BV1" s="359"/>
      <c r="BX1" s="358"/>
      <c r="BZ1" s="359"/>
      <c r="CB1" s="360"/>
      <c r="CD1" s="361"/>
      <c r="CF1" s="360"/>
      <c r="CH1" s="359"/>
      <c r="CJ1" s="358"/>
      <c r="CL1" s="359"/>
      <c r="CN1" s="358"/>
      <c r="CP1" s="359"/>
      <c r="CR1" s="360"/>
      <c r="CT1" s="361"/>
      <c r="CV1" s="360"/>
      <c r="CX1" s="359"/>
      <c r="CZ1" s="358"/>
      <c r="DB1" s="359"/>
      <c r="DD1" s="358"/>
      <c r="DF1" s="359"/>
      <c r="DH1" s="360"/>
      <c r="DJ1" s="361"/>
      <c r="DL1" s="360"/>
      <c r="DN1" s="359"/>
      <c r="DP1" s="358"/>
      <c r="DR1" s="359"/>
      <c r="DT1" s="358"/>
      <c r="DV1" s="359"/>
      <c r="DX1" s="360"/>
      <c r="DZ1" s="361"/>
      <c r="EB1" s="360"/>
      <c r="ED1" s="359"/>
      <c r="EF1" s="358"/>
      <c r="EH1" s="359"/>
      <c r="EJ1" s="358"/>
      <c r="EL1" s="359"/>
      <c r="EN1" s="358"/>
      <c r="EP1" s="359"/>
      <c r="ER1" s="358"/>
      <c r="ET1" s="359"/>
      <c r="EV1" s="358"/>
      <c r="EX1" s="359"/>
      <c r="EZ1" s="358"/>
      <c r="FB1" s="359"/>
      <c r="FD1" s="358"/>
      <c r="FF1" s="359"/>
      <c r="FH1" s="358"/>
      <c r="FJ1" s="359"/>
      <c r="FL1" s="358"/>
      <c r="FN1" s="359"/>
      <c r="FP1" s="358"/>
      <c r="FR1" s="359"/>
      <c r="FT1" s="358"/>
      <c r="FV1" s="359"/>
      <c r="FX1" s="358"/>
      <c r="FZ1" s="359"/>
      <c r="GB1" s="358"/>
      <c r="GD1" s="359"/>
      <c r="GF1" s="358"/>
      <c r="GH1" s="359"/>
      <c r="GJ1" s="358"/>
      <c r="GL1" s="359"/>
      <c r="GN1" s="358"/>
      <c r="GP1" s="359"/>
      <c r="GR1" s="358"/>
    </row>
    <row r="2">
      <c r="B2" s="364" t="s">
        <v>150</v>
      </c>
      <c r="C2" s="364" t="s">
        <v>151</v>
      </c>
      <c r="D2" s="355" t="s">
        <v>150</v>
      </c>
      <c r="E2" s="355" t="s">
        <v>151</v>
      </c>
      <c r="F2" s="364" t="s">
        <v>150</v>
      </c>
      <c r="G2" s="364" t="s">
        <v>151</v>
      </c>
      <c r="H2" s="355" t="s">
        <v>150</v>
      </c>
      <c r="I2" s="355" t="s">
        <v>151</v>
      </c>
      <c r="J2" s="364" t="s">
        <v>150</v>
      </c>
      <c r="K2" s="364" t="s">
        <v>151</v>
      </c>
      <c r="L2" s="355" t="s">
        <v>150</v>
      </c>
      <c r="M2" s="355" t="s">
        <v>151</v>
      </c>
      <c r="N2" s="364" t="s">
        <v>150</v>
      </c>
      <c r="O2" s="364" t="s">
        <v>151</v>
      </c>
      <c r="P2" s="355" t="s">
        <v>150</v>
      </c>
      <c r="Q2" s="355" t="s">
        <v>151</v>
      </c>
      <c r="R2" s="364" t="s">
        <v>150</v>
      </c>
      <c r="S2" s="364" t="s">
        <v>151</v>
      </c>
      <c r="T2" s="355" t="s">
        <v>150</v>
      </c>
      <c r="U2" s="355" t="s">
        <v>151</v>
      </c>
      <c r="V2" s="364" t="s">
        <v>150</v>
      </c>
      <c r="W2" s="364" t="s">
        <v>151</v>
      </c>
      <c r="X2" s="355" t="s">
        <v>150</v>
      </c>
      <c r="Y2" s="355" t="s">
        <v>151</v>
      </c>
      <c r="Z2" s="364" t="s">
        <v>150</v>
      </c>
      <c r="AA2" s="364" t="s">
        <v>151</v>
      </c>
      <c r="AB2" s="355" t="s">
        <v>150</v>
      </c>
      <c r="AC2" s="355" t="s">
        <v>151</v>
      </c>
      <c r="AD2" s="364" t="s">
        <v>150</v>
      </c>
      <c r="AE2" s="364" t="s">
        <v>151</v>
      </c>
      <c r="AF2" s="355" t="s">
        <v>150</v>
      </c>
      <c r="AG2" s="355" t="s">
        <v>151</v>
      </c>
      <c r="AH2" s="364" t="s">
        <v>150</v>
      </c>
      <c r="AI2" s="364" t="s">
        <v>151</v>
      </c>
      <c r="AJ2" s="355" t="s">
        <v>150</v>
      </c>
      <c r="AK2" s="355" t="s">
        <v>151</v>
      </c>
      <c r="AL2" s="364" t="s">
        <v>150</v>
      </c>
      <c r="AM2" s="364" t="s">
        <v>151</v>
      </c>
      <c r="AN2" s="355" t="s">
        <v>150</v>
      </c>
      <c r="AO2" s="355" t="s">
        <v>151</v>
      </c>
      <c r="AP2" s="364" t="s">
        <v>150</v>
      </c>
      <c r="AQ2" s="364" t="s">
        <v>151</v>
      </c>
      <c r="AR2" s="355" t="s">
        <v>150</v>
      </c>
      <c r="AS2" s="355" t="s">
        <v>151</v>
      </c>
      <c r="AT2" s="364" t="s">
        <v>150</v>
      </c>
      <c r="AU2" s="364" t="s">
        <v>151</v>
      </c>
      <c r="AV2" s="355" t="s">
        <v>150</v>
      </c>
      <c r="AW2" s="355" t="s">
        <v>151</v>
      </c>
      <c r="AX2" s="364" t="s">
        <v>150</v>
      </c>
      <c r="AY2" s="364" t="s">
        <v>151</v>
      </c>
      <c r="AZ2" s="355" t="s">
        <v>150</v>
      </c>
      <c r="BA2" s="355" t="s">
        <v>151</v>
      </c>
      <c r="BB2" s="364" t="s">
        <v>150</v>
      </c>
      <c r="BC2" s="364" t="s">
        <v>151</v>
      </c>
      <c r="BD2" s="355" t="s">
        <v>150</v>
      </c>
      <c r="BE2" s="355" t="s">
        <v>151</v>
      </c>
      <c r="BF2" s="364" t="s">
        <v>150</v>
      </c>
      <c r="BG2" s="364" t="s">
        <v>151</v>
      </c>
      <c r="BH2" s="355" t="s">
        <v>150</v>
      </c>
      <c r="BI2" s="355" t="s">
        <v>151</v>
      </c>
      <c r="BJ2" s="364" t="s">
        <v>150</v>
      </c>
      <c r="BK2" s="364" t="s">
        <v>151</v>
      </c>
      <c r="BL2" s="355" t="s">
        <v>150</v>
      </c>
      <c r="BM2" s="355" t="s">
        <v>151</v>
      </c>
      <c r="BN2" s="364" t="s">
        <v>150</v>
      </c>
      <c r="BO2" s="364" t="s">
        <v>151</v>
      </c>
      <c r="BP2" s="355" t="s">
        <v>150</v>
      </c>
      <c r="BQ2" s="355" t="s">
        <v>151</v>
      </c>
      <c r="BR2" s="364" t="s">
        <v>150</v>
      </c>
      <c r="BS2" s="364" t="s">
        <v>151</v>
      </c>
      <c r="BT2" s="355" t="s">
        <v>150</v>
      </c>
      <c r="BU2" s="355" t="s">
        <v>151</v>
      </c>
      <c r="BV2" s="364" t="s">
        <v>150</v>
      </c>
      <c r="BW2" s="364" t="s">
        <v>151</v>
      </c>
      <c r="BX2" s="355" t="s">
        <v>150</v>
      </c>
      <c r="BY2" s="355" t="s">
        <v>151</v>
      </c>
      <c r="BZ2" s="364" t="s">
        <v>150</v>
      </c>
      <c r="CA2" s="364" t="s">
        <v>151</v>
      </c>
      <c r="CB2" s="355" t="s">
        <v>150</v>
      </c>
      <c r="CC2" s="355" t="s">
        <v>151</v>
      </c>
      <c r="CD2" s="364" t="s">
        <v>150</v>
      </c>
      <c r="CE2" s="364" t="s">
        <v>151</v>
      </c>
      <c r="CF2" s="355" t="s">
        <v>150</v>
      </c>
      <c r="CG2" s="355" t="s">
        <v>151</v>
      </c>
      <c r="CH2" s="364" t="s">
        <v>150</v>
      </c>
      <c r="CI2" s="364" t="s">
        <v>151</v>
      </c>
      <c r="CJ2" s="355" t="s">
        <v>150</v>
      </c>
      <c r="CK2" s="355" t="s">
        <v>151</v>
      </c>
      <c r="CL2" s="364" t="s">
        <v>150</v>
      </c>
      <c r="CM2" s="364" t="s">
        <v>151</v>
      </c>
      <c r="CN2" s="355" t="s">
        <v>150</v>
      </c>
      <c r="CO2" s="355" t="s">
        <v>151</v>
      </c>
      <c r="CP2" s="364" t="s">
        <v>150</v>
      </c>
      <c r="CQ2" s="364" t="s">
        <v>151</v>
      </c>
      <c r="CR2" s="355" t="s">
        <v>150</v>
      </c>
      <c r="CS2" s="355" t="s">
        <v>151</v>
      </c>
      <c r="CT2" s="364" t="s">
        <v>150</v>
      </c>
      <c r="CU2" s="364" t="s">
        <v>151</v>
      </c>
      <c r="CV2" s="355" t="s">
        <v>150</v>
      </c>
      <c r="CW2" s="355" t="s">
        <v>151</v>
      </c>
      <c r="CX2" s="364" t="s">
        <v>150</v>
      </c>
      <c r="CY2" s="364" t="s">
        <v>151</v>
      </c>
      <c r="CZ2" s="355" t="s">
        <v>150</v>
      </c>
      <c r="DA2" s="355" t="s">
        <v>151</v>
      </c>
      <c r="DB2" s="364" t="s">
        <v>150</v>
      </c>
      <c r="DC2" s="364" t="s">
        <v>151</v>
      </c>
      <c r="DD2" s="355" t="s">
        <v>150</v>
      </c>
      <c r="DE2" s="355" t="s">
        <v>151</v>
      </c>
      <c r="DF2" s="364" t="s">
        <v>150</v>
      </c>
      <c r="DG2" s="364" t="s">
        <v>151</v>
      </c>
      <c r="DH2" s="355" t="s">
        <v>150</v>
      </c>
      <c r="DI2" s="355" t="s">
        <v>151</v>
      </c>
      <c r="DJ2" s="364" t="s">
        <v>150</v>
      </c>
      <c r="DK2" s="364" t="s">
        <v>151</v>
      </c>
      <c r="DL2" s="355" t="s">
        <v>150</v>
      </c>
      <c r="DM2" s="355" t="s">
        <v>151</v>
      </c>
      <c r="DN2" s="364" t="s">
        <v>150</v>
      </c>
      <c r="DO2" s="364" t="s">
        <v>151</v>
      </c>
      <c r="DP2" s="355" t="s">
        <v>150</v>
      </c>
      <c r="DQ2" s="355" t="s">
        <v>151</v>
      </c>
      <c r="DR2" s="364" t="s">
        <v>150</v>
      </c>
      <c r="DS2" s="364" t="s">
        <v>151</v>
      </c>
      <c r="DT2" s="355" t="s">
        <v>150</v>
      </c>
      <c r="DU2" s="355" t="s">
        <v>151</v>
      </c>
      <c r="DV2" s="364" t="s">
        <v>150</v>
      </c>
      <c r="DW2" s="364" t="s">
        <v>151</v>
      </c>
      <c r="DX2" s="355" t="s">
        <v>150</v>
      </c>
      <c r="DY2" s="355" t="s">
        <v>151</v>
      </c>
      <c r="DZ2" s="364" t="s">
        <v>150</v>
      </c>
      <c r="EA2" s="364" t="s">
        <v>151</v>
      </c>
      <c r="EB2" s="355" t="s">
        <v>150</v>
      </c>
      <c r="EC2" s="355" t="s">
        <v>151</v>
      </c>
      <c r="ED2" s="364" t="s">
        <v>150</v>
      </c>
      <c r="EE2" s="364" t="s">
        <v>151</v>
      </c>
      <c r="EF2" s="355" t="s">
        <v>150</v>
      </c>
      <c r="EG2" s="355" t="s">
        <v>151</v>
      </c>
      <c r="EH2" s="364" t="s">
        <v>150</v>
      </c>
      <c r="EI2" s="364" t="s">
        <v>151</v>
      </c>
      <c r="EJ2" s="355" t="s">
        <v>150</v>
      </c>
      <c r="EK2" s="355" t="s">
        <v>151</v>
      </c>
      <c r="EL2" s="364" t="s">
        <v>150</v>
      </c>
      <c r="EM2" s="364" t="s">
        <v>151</v>
      </c>
      <c r="EN2" s="355" t="s">
        <v>150</v>
      </c>
      <c r="EO2" s="355" t="s">
        <v>151</v>
      </c>
      <c r="EP2" s="364" t="s">
        <v>150</v>
      </c>
      <c r="EQ2" s="364" t="s">
        <v>151</v>
      </c>
      <c r="ER2" s="355" t="s">
        <v>150</v>
      </c>
      <c r="ES2" s="355" t="s">
        <v>151</v>
      </c>
      <c r="ET2" s="364" t="s">
        <v>150</v>
      </c>
      <c r="EU2" s="364" t="s">
        <v>151</v>
      </c>
      <c r="EV2" s="355" t="s">
        <v>150</v>
      </c>
      <c r="EW2" s="355" t="s">
        <v>151</v>
      </c>
      <c r="EX2" s="364" t="s">
        <v>150</v>
      </c>
      <c r="EY2" s="364" t="s">
        <v>151</v>
      </c>
      <c r="EZ2" s="355" t="s">
        <v>150</v>
      </c>
      <c r="FA2" s="355" t="s">
        <v>151</v>
      </c>
      <c r="FB2" s="364" t="s">
        <v>150</v>
      </c>
      <c r="FC2" s="364" t="s">
        <v>151</v>
      </c>
      <c r="FD2" s="355" t="s">
        <v>150</v>
      </c>
      <c r="FE2" s="355" t="s">
        <v>151</v>
      </c>
      <c r="FF2" s="364" t="s">
        <v>150</v>
      </c>
      <c r="FG2" s="364" t="s">
        <v>151</v>
      </c>
      <c r="FH2" s="355" t="s">
        <v>150</v>
      </c>
      <c r="FI2" s="355" t="s">
        <v>151</v>
      </c>
      <c r="FJ2" s="364" t="s">
        <v>150</v>
      </c>
      <c r="FK2" s="364" t="s">
        <v>151</v>
      </c>
      <c r="FL2" s="355" t="s">
        <v>150</v>
      </c>
      <c r="FM2" s="355" t="s">
        <v>151</v>
      </c>
      <c r="FN2" s="364" t="s">
        <v>150</v>
      </c>
      <c r="FO2" s="364" t="s">
        <v>151</v>
      </c>
      <c r="FP2" s="355" t="s">
        <v>150</v>
      </c>
      <c r="FQ2" s="355" t="s">
        <v>151</v>
      </c>
      <c r="FR2" s="364" t="s">
        <v>150</v>
      </c>
      <c r="FS2" s="364" t="s">
        <v>151</v>
      </c>
      <c r="FT2" s="355" t="s">
        <v>150</v>
      </c>
      <c r="FU2" s="355" t="s">
        <v>151</v>
      </c>
      <c r="FV2" s="364" t="s">
        <v>150</v>
      </c>
      <c r="FW2" s="364" t="s">
        <v>151</v>
      </c>
      <c r="FX2" s="355" t="s">
        <v>150</v>
      </c>
      <c r="FY2" s="355" t="s">
        <v>151</v>
      </c>
      <c r="FZ2" s="364" t="s">
        <v>150</v>
      </c>
      <c r="GA2" s="364" t="s">
        <v>151</v>
      </c>
      <c r="GB2" s="355" t="s">
        <v>150</v>
      </c>
      <c r="GC2" s="355" t="s">
        <v>151</v>
      </c>
      <c r="GD2" s="364" t="s">
        <v>150</v>
      </c>
      <c r="GE2" s="364" t="s">
        <v>151</v>
      </c>
      <c r="GF2" s="355" t="s">
        <v>150</v>
      </c>
      <c r="GG2" s="355" t="s">
        <v>151</v>
      </c>
      <c r="GH2" s="364" t="s">
        <v>150</v>
      </c>
      <c r="GI2" s="364" t="s">
        <v>151</v>
      </c>
      <c r="GJ2" s="355" t="s">
        <v>150</v>
      </c>
      <c r="GK2" s="355" t="s">
        <v>151</v>
      </c>
      <c r="GL2" s="364" t="s">
        <v>150</v>
      </c>
      <c r="GM2" s="364" t="s">
        <v>151</v>
      </c>
      <c r="GN2" s="355" t="s">
        <v>150</v>
      </c>
      <c r="GO2" s="355" t="s">
        <v>151</v>
      </c>
      <c r="GP2" s="364" t="s">
        <v>150</v>
      </c>
      <c r="GQ2" s="364" t="s">
        <v>151</v>
      </c>
      <c r="GR2" s="355" t="s">
        <v>150</v>
      </c>
      <c r="GS2" s="355" t="s">
        <v>151</v>
      </c>
    </row>
    <row r="3">
      <c r="A3" s="365" t="s">
        <v>156</v>
      </c>
      <c r="B3" s="365"/>
      <c r="C3" s="365"/>
      <c r="D3" s="365"/>
      <c r="E3" s="365"/>
      <c r="F3" s="365"/>
      <c r="G3" s="365"/>
      <c r="H3" s="365"/>
      <c r="I3" s="365"/>
      <c r="J3" s="365"/>
      <c r="K3" s="365"/>
      <c r="L3" s="365"/>
      <c r="M3" s="365"/>
      <c r="N3" s="365"/>
      <c r="O3" s="365"/>
      <c r="P3" s="365"/>
      <c r="Q3" s="365"/>
      <c r="R3" s="365"/>
      <c r="S3" s="365"/>
      <c r="T3" s="365"/>
      <c r="U3" s="365"/>
      <c r="V3" s="365"/>
      <c r="W3" s="365"/>
      <c r="X3" s="365"/>
      <c r="Y3" s="365"/>
      <c r="Z3" s="365"/>
      <c r="AA3" s="365"/>
      <c r="AB3" s="365"/>
      <c r="AC3" s="365"/>
      <c r="AD3" s="365"/>
      <c r="AE3" s="365"/>
      <c r="AF3" s="365"/>
      <c r="AG3" s="365"/>
      <c r="AH3" s="365"/>
      <c r="AI3" s="365"/>
      <c r="AJ3" s="365"/>
      <c r="AK3" s="365"/>
      <c r="AL3" s="365"/>
      <c r="AM3" s="365"/>
      <c r="AN3" s="365"/>
      <c r="AO3" s="365"/>
      <c r="AP3" s="365"/>
      <c r="AQ3" s="365"/>
      <c r="AR3" s="365"/>
      <c r="AS3" s="365"/>
      <c r="AT3" s="365"/>
      <c r="AU3" s="365"/>
      <c r="AV3" s="365"/>
      <c r="AW3" s="365"/>
      <c r="AX3" s="365"/>
      <c r="AY3" s="365"/>
      <c r="AZ3" s="365"/>
      <c r="BA3" s="365"/>
      <c r="BB3" s="365"/>
      <c r="BC3" s="365"/>
      <c r="BD3" s="365"/>
      <c r="BE3" s="365"/>
      <c r="BF3" s="365"/>
      <c r="BG3" s="365"/>
      <c r="BH3" s="365"/>
      <c r="BI3" s="365"/>
      <c r="BJ3" s="365"/>
      <c r="BK3" s="365"/>
      <c r="BL3" s="365"/>
      <c r="BM3" s="365"/>
      <c r="BN3" s="365"/>
      <c r="BO3" s="365"/>
      <c r="BP3" s="365"/>
      <c r="BQ3" s="365"/>
      <c r="BR3" s="365"/>
      <c r="BS3" s="365"/>
      <c r="BT3" s="365"/>
      <c r="BU3" s="365"/>
      <c r="BV3" s="365"/>
      <c r="BW3" s="365"/>
      <c r="BX3" s="365"/>
      <c r="BY3" s="365"/>
      <c r="BZ3" s="365"/>
      <c r="CA3" s="365"/>
      <c r="CB3" s="365"/>
      <c r="CC3" s="365"/>
      <c r="CD3" s="365"/>
      <c r="CE3" s="365"/>
      <c r="CF3" s="365"/>
      <c r="CG3" s="365"/>
      <c r="CH3" s="365"/>
      <c r="CI3" s="365"/>
      <c r="CJ3" s="365"/>
      <c r="CK3" s="365"/>
      <c r="CL3" s="365"/>
      <c r="CM3" s="365"/>
      <c r="CN3" s="365"/>
      <c r="CO3" s="365"/>
      <c r="CP3" s="365"/>
      <c r="CQ3" s="365"/>
      <c r="CR3" s="365"/>
      <c r="CS3" s="365"/>
      <c r="CT3" s="365"/>
      <c r="CU3" s="365"/>
      <c r="CV3" s="365"/>
      <c r="CW3" s="365"/>
      <c r="CX3" s="365"/>
      <c r="CY3" s="365"/>
      <c r="CZ3" s="365"/>
      <c r="DA3" s="365"/>
      <c r="DB3" s="365"/>
      <c r="DC3" s="365"/>
      <c r="DD3" s="365"/>
      <c r="DE3" s="365"/>
      <c r="DF3" s="365"/>
      <c r="DG3" s="365"/>
      <c r="DH3" s="365"/>
      <c r="DI3" s="365"/>
      <c r="DJ3" s="365"/>
      <c r="DK3" s="365"/>
      <c r="DL3" s="365"/>
      <c r="DM3" s="365"/>
      <c r="DN3" s="365"/>
      <c r="DO3" s="365"/>
      <c r="DP3" s="365"/>
      <c r="DQ3" s="365"/>
      <c r="DR3" s="365"/>
      <c r="DS3" s="365"/>
      <c r="DT3" s="365"/>
      <c r="DU3" s="365"/>
      <c r="DV3" s="365"/>
      <c r="DW3" s="365"/>
      <c r="DX3" s="365"/>
      <c r="DY3" s="365"/>
      <c r="DZ3" s="365"/>
      <c r="EA3" s="365"/>
      <c r="EB3" s="365"/>
      <c r="EC3" s="365"/>
      <c r="ED3" s="365"/>
      <c r="EE3" s="365"/>
      <c r="EF3" s="365"/>
      <c r="EG3" s="365"/>
      <c r="EH3" s="365"/>
      <c r="EI3" s="365"/>
      <c r="EJ3" s="365"/>
      <c r="EK3" s="365"/>
      <c r="EL3" s="365"/>
      <c r="EM3" s="365"/>
      <c r="EN3" s="365"/>
      <c r="EO3" s="365"/>
      <c r="EP3" s="365"/>
      <c r="EQ3" s="365"/>
      <c r="ER3" s="365"/>
      <c r="ES3" s="365"/>
      <c r="ET3" s="365"/>
      <c r="EU3" s="365"/>
      <c r="EV3" s="365"/>
      <c r="EW3" s="365"/>
      <c r="EX3" s="365"/>
      <c r="EY3" s="365"/>
      <c r="EZ3" s="365"/>
      <c r="FA3" s="365"/>
      <c r="FB3" s="365"/>
      <c r="FC3" s="365"/>
      <c r="FD3" s="365"/>
      <c r="FE3" s="365"/>
      <c r="FF3" s="365"/>
      <c r="FG3" s="365"/>
      <c r="FH3" s="365"/>
      <c r="FI3" s="365"/>
      <c r="FJ3" s="365"/>
      <c r="FK3" s="365"/>
      <c r="FL3" s="365"/>
      <c r="FM3" s="365"/>
      <c r="FN3" s="365"/>
      <c r="FO3" s="365"/>
      <c r="FP3" s="365"/>
      <c r="FQ3" s="365"/>
      <c r="FR3" s="365"/>
      <c r="FS3" s="365"/>
      <c r="FT3" s="365"/>
      <c r="FU3" s="365"/>
      <c r="FV3" s="365"/>
      <c r="FW3" s="365"/>
      <c r="FX3" s="365"/>
      <c r="FY3" s="365"/>
      <c r="FZ3" s="365"/>
      <c r="GA3" s="365"/>
      <c r="GB3" s="365"/>
      <c r="GC3" s="365"/>
      <c r="GD3" s="365"/>
      <c r="GE3" s="365"/>
      <c r="GF3" s="365"/>
      <c r="GG3" s="365"/>
      <c r="GH3" s="365"/>
      <c r="GI3" s="365"/>
      <c r="GJ3" s="365"/>
      <c r="GK3" s="365"/>
      <c r="GL3" s="365"/>
      <c r="GM3" s="365"/>
      <c r="GN3" s="365"/>
      <c r="GO3" s="365"/>
      <c r="GP3" s="365"/>
      <c r="GQ3" s="365"/>
      <c r="GR3" s="365"/>
      <c r="GS3" s="365"/>
    </row>
    <row r="4">
      <c r="A4" s="367" t="s">
        <v>217</v>
      </c>
      <c r="B4" s="371"/>
      <c r="C4" s="371"/>
      <c r="D4" s="370"/>
      <c r="E4" s="370"/>
      <c r="F4" s="371"/>
      <c r="G4" s="371"/>
      <c r="H4" s="370"/>
      <c r="I4" s="370"/>
      <c r="J4" s="371"/>
      <c r="K4" s="371"/>
      <c r="L4" s="370"/>
      <c r="M4" s="370"/>
      <c r="N4" s="371"/>
      <c r="O4" s="371"/>
      <c r="P4" s="370"/>
      <c r="Q4" s="370"/>
      <c r="R4" s="371"/>
      <c r="S4" s="371"/>
      <c r="T4" s="370"/>
      <c r="U4" s="370"/>
      <c r="V4" s="371"/>
      <c r="W4" s="371"/>
      <c r="X4" s="370"/>
      <c r="Y4" s="370"/>
      <c r="Z4" s="371"/>
      <c r="AA4" s="371"/>
      <c r="AB4" s="370"/>
      <c r="AC4" s="370"/>
      <c r="AD4" s="371"/>
      <c r="AE4" s="371"/>
      <c r="AF4" s="370"/>
      <c r="AG4" s="370"/>
      <c r="AH4" s="371"/>
      <c r="AI4" s="371"/>
      <c r="AJ4" s="370"/>
      <c r="AK4" s="370"/>
      <c r="AL4" s="371"/>
      <c r="AM4" s="371"/>
      <c r="AN4" s="370"/>
      <c r="AO4" s="370"/>
      <c r="AP4" s="371"/>
      <c r="AQ4" s="371"/>
      <c r="AR4" s="370"/>
      <c r="AS4" s="370"/>
      <c r="AT4" s="371"/>
      <c r="AU4" s="371"/>
      <c r="AV4" s="370"/>
      <c r="AW4" s="370"/>
      <c r="AX4" s="371"/>
      <c r="AY4" s="371"/>
      <c r="AZ4" s="370"/>
      <c r="BA4" s="370"/>
      <c r="BB4" s="371"/>
      <c r="BC4" s="371"/>
      <c r="BD4" s="370"/>
      <c r="BE4" s="370"/>
      <c r="BF4" s="371"/>
      <c r="BG4" s="371"/>
      <c r="BH4" s="370"/>
      <c r="BI4" s="370"/>
      <c r="BJ4" s="371"/>
      <c r="BK4" s="371"/>
      <c r="BL4" s="370"/>
      <c r="BM4" s="370"/>
      <c r="BN4" s="371"/>
      <c r="BO4" s="371"/>
      <c r="BP4" s="370"/>
      <c r="BQ4" s="370"/>
      <c r="BR4" s="371"/>
      <c r="BS4" s="371"/>
      <c r="BT4" s="370"/>
      <c r="BU4" s="370"/>
      <c r="BV4" s="371"/>
      <c r="BW4" s="371"/>
      <c r="BX4" s="370"/>
      <c r="BY4" s="370"/>
      <c r="BZ4" s="371"/>
      <c r="CA4" s="371"/>
      <c r="CB4" s="370"/>
      <c r="CC4" s="370"/>
      <c r="CD4" s="371"/>
      <c r="CE4" s="371"/>
      <c r="CF4" s="370"/>
      <c r="CG4" s="370"/>
      <c r="CH4" s="371"/>
      <c r="CI4" s="371"/>
      <c r="CJ4" s="370"/>
      <c r="CK4" s="370"/>
      <c r="CL4" s="371"/>
      <c r="CM4" s="371"/>
      <c r="CN4" s="370"/>
      <c r="CO4" s="370"/>
      <c r="CP4" s="371"/>
      <c r="CQ4" s="371"/>
      <c r="CR4" s="370"/>
      <c r="CS4" s="370"/>
      <c r="CT4" s="371"/>
      <c r="CU4" s="371"/>
      <c r="CV4" s="370"/>
      <c r="CW4" s="370"/>
      <c r="CX4" s="371"/>
      <c r="CY4" s="371"/>
      <c r="CZ4" s="370"/>
      <c r="DA4" s="370"/>
      <c r="DB4" s="371"/>
      <c r="DC4" s="371"/>
      <c r="DD4" s="370"/>
      <c r="DE4" s="370"/>
      <c r="DF4" s="371"/>
      <c r="DG4" s="371"/>
      <c r="DH4" s="370"/>
      <c r="DI4" s="370"/>
      <c r="DJ4" s="371"/>
      <c r="DK4" s="371"/>
      <c r="DL4" s="370"/>
      <c r="DM4" s="370"/>
      <c r="DN4" s="371"/>
      <c r="DO4" s="371"/>
      <c r="DP4" s="370"/>
      <c r="DQ4" s="370"/>
      <c r="DR4" s="371"/>
      <c r="DS4" s="371"/>
      <c r="DT4" s="370"/>
      <c r="DU4" s="370"/>
      <c r="DV4" s="371"/>
      <c r="DW4" s="371"/>
      <c r="DX4" s="370"/>
      <c r="DY4" s="370"/>
      <c r="DZ4" s="371"/>
      <c r="EA4" s="371"/>
      <c r="EB4" s="370"/>
      <c r="EC4" s="370"/>
      <c r="ED4" s="371"/>
      <c r="EE4" s="371"/>
      <c r="EF4" s="370"/>
      <c r="EG4" s="370"/>
      <c r="EH4" s="371"/>
      <c r="EI4" s="371"/>
      <c r="EJ4" s="370"/>
      <c r="EK4" s="370"/>
      <c r="EL4" s="371"/>
      <c r="EM4" s="371"/>
      <c r="EN4" s="370"/>
      <c r="EO4" s="370"/>
      <c r="EP4" s="371"/>
      <c r="EQ4" s="371"/>
      <c r="ER4" s="370"/>
      <c r="ES4" s="370"/>
      <c r="ET4" s="371"/>
      <c r="EU4" s="371"/>
      <c r="EV4" s="370"/>
      <c r="EW4" s="370"/>
      <c r="EX4" s="371"/>
      <c r="EY4" s="371"/>
      <c r="EZ4" s="370"/>
      <c r="FA4" s="370"/>
      <c r="FB4" s="371"/>
      <c r="FC4" s="371"/>
      <c r="FD4" s="370"/>
      <c r="FE4" s="370"/>
      <c r="FF4" s="371"/>
      <c r="FG4" s="371"/>
      <c r="FH4" s="370"/>
      <c r="FI4" s="370"/>
      <c r="FJ4" s="371"/>
      <c r="FK4" s="371"/>
      <c r="FL4" s="370"/>
      <c r="FM4" s="370"/>
      <c r="FN4" s="371"/>
      <c r="FO4" s="371"/>
      <c r="FP4" s="370"/>
      <c r="FQ4" s="370"/>
      <c r="FR4" s="371"/>
      <c r="FS4" s="371"/>
      <c r="FT4" s="370"/>
      <c r="FU4" s="370"/>
      <c r="FV4" s="371"/>
      <c r="FW4" s="371"/>
      <c r="FX4" s="370"/>
      <c r="FY4" s="370"/>
      <c r="FZ4" s="371"/>
      <c r="GA4" s="371"/>
      <c r="GB4" s="370"/>
      <c r="GC4" s="370"/>
      <c r="GD4" s="371"/>
      <c r="GE4" s="371"/>
      <c r="GF4" s="370"/>
      <c r="GG4" s="370"/>
      <c r="GH4" s="371"/>
      <c r="GI4" s="371"/>
      <c r="GJ4" s="370"/>
      <c r="GK4" s="370"/>
      <c r="GL4" s="371"/>
      <c r="GM4" s="371"/>
      <c r="GN4" s="370"/>
      <c r="GO4" s="370"/>
      <c r="GP4" s="371"/>
      <c r="GQ4" s="371"/>
      <c r="GR4" s="370"/>
      <c r="GS4" s="370"/>
    </row>
    <row r="5">
      <c r="A5" s="367" t="s">
        <v>218</v>
      </c>
      <c r="B5" s="371"/>
      <c r="C5" s="371"/>
      <c r="D5" s="370"/>
      <c r="E5" s="370"/>
      <c r="F5" s="371"/>
      <c r="G5" s="371"/>
      <c r="H5" s="370"/>
      <c r="I5" s="370"/>
      <c r="J5" s="371"/>
      <c r="K5" s="371"/>
      <c r="L5" s="370"/>
      <c r="M5" s="370"/>
      <c r="N5" s="371"/>
      <c r="O5" s="371"/>
      <c r="P5" s="370"/>
      <c r="Q5" s="370"/>
      <c r="R5" s="371"/>
      <c r="S5" s="371"/>
      <c r="T5" s="370"/>
      <c r="U5" s="370"/>
      <c r="V5" s="371"/>
      <c r="W5" s="371"/>
      <c r="X5" s="370"/>
      <c r="Y5" s="370"/>
      <c r="Z5" s="371"/>
      <c r="AA5" s="371"/>
      <c r="AB5" s="370"/>
      <c r="AC5" s="370"/>
      <c r="AD5" s="371"/>
      <c r="AE5" s="371"/>
      <c r="AF5" s="370"/>
      <c r="AG5" s="370"/>
      <c r="AH5" s="371"/>
      <c r="AI5" s="371"/>
      <c r="AJ5" s="370"/>
      <c r="AK5" s="370"/>
      <c r="AL5" s="371"/>
      <c r="AM5" s="371"/>
      <c r="AN5" s="370"/>
      <c r="AO5" s="370"/>
      <c r="AP5" s="371"/>
      <c r="AQ5" s="371"/>
      <c r="AR5" s="370"/>
      <c r="AS5" s="370"/>
      <c r="AT5" s="371"/>
      <c r="AU5" s="371"/>
      <c r="AV5" s="370"/>
      <c r="AW5" s="370"/>
      <c r="AX5" s="371"/>
      <c r="AY5" s="371"/>
      <c r="AZ5" s="370"/>
      <c r="BA5" s="370"/>
      <c r="BB5" s="371"/>
      <c r="BC5" s="371"/>
      <c r="BD5" s="370"/>
      <c r="BE5" s="370"/>
      <c r="BF5" s="371"/>
      <c r="BG5" s="371"/>
      <c r="BH5" s="370"/>
      <c r="BI5" s="370"/>
      <c r="BJ5" s="371"/>
      <c r="BK5" s="371"/>
      <c r="BL5" s="370"/>
      <c r="BM5" s="370"/>
      <c r="BN5" s="371"/>
      <c r="BO5" s="371"/>
      <c r="BP5" s="370"/>
      <c r="BQ5" s="370"/>
      <c r="BR5" s="371"/>
      <c r="BS5" s="371"/>
      <c r="BT5" s="370"/>
      <c r="BU5" s="370"/>
      <c r="BV5" s="371"/>
      <c r="BW5" s="371"/>
      <c r="BX5" s="370"/>
      <c r="BY5" s="370"/>
      <c r="BZ5" s="371"/>
      <c r="CA5" s="371"/>
      <c r="CB5" s="370"/>
      <c r="CC5" s="370"/>
      <c r="CD5" s="371"/>
      <c r="CE5" s="371"/>
      <c r="CF5" s="370"/>
      <c r="CG5" s="370"/>
      <c r="CH5" s="371"/>
      <c r="CI5" s="371"/>
      <c r="CJ5" s="370"/>
      <c r="CK5" s="370"/>
      <c r="CL5" s="371"/>
      <c r="CM5" s="371"/>
      <c r="CN5" s="370"/>
      <c r="CO5" s="370"/>
      <c r="CP5" s="371"/>
      <c r="CQ5" s="371"/>
      <c r="CR5" s="370"/>
      <c r="CS5" s="370"/>
      <c r="CT5" s="371"/>
      <c r="CU5" s="371"/>
      <c r="CV5" s="370"/>
      <c r="CW5" s="370"/>
      <c r="CX5" s="371"/>
      <c r="CY5" s="371"/>
      <c r="CZ5" s="370"/>
      <c r="DA5" s="370"/>
      <c r="DB5" s="371"/>
      <c r="DC5" s="371"/>
      <c r="DD5" s="370"/>
      <c r="DE5" s="370"/>
      <c r="DF5" s="371"/>
      <c r="DG5" s="371"/>
      <c r="DH5" s="370"/>
      <c r="DI5" s="370"/>
      <c r="DJ5" s="371"/>
      <c r="DK5" s="371"/>
      <c r="DL5" s="370"/>
      <c r="DM5" s="370"/>
      <c r="DN5" s="371"/>
      <c r="DO5" s="371"/>
      <c r="DP5" s="370"/>
      <c r="DQ5" s="370"/>
      <c r="DR5" s="371"/>
      <c r="DS5" s="371"/>
      <c r="DT5" s="370"/>
      <c r="DU5" s="370"/>
      <c r="DV5" s="371"/>
      <c r="DW5" s="371"/>
      <c r="DX5" s="370"/>
      <c r="DY5" s="370"/>
      <c r="DZ5" s="371"/>
      <c r="EA5" s="371"/>
      <c r="EB5" s="370"/>
      <c r="EC5" s="370"/>
      <c r="ED5" s="371"/>
      <c r="EE5" s="371"/>
      <c r="EF5" s="370"/>
      <c r="EG5" s="370"/>
      <c r="EH5" s="371"/>
      <c r="EI5" s="371"/>
      <c r="EJ5" s="370"/>
      <c r="EK5" s="370"/>
      <c r="EL5" s="371"/>
      <c r="EM5" s="371"/>
      <c r="EN5" s="370"/>
      <c r="EO5" s="370"/>
      <c r="EP5" s="371"/>
      <c r="EQ5" s="371"/>
      <c r="ER5" s="370"/>
      <c r="ES5" s="370"/>
      <c r="ET5" s="371"/>
      <c r="EU5" s="371"/>
      <c r="EV5" s="370"/>
      <c r="EW5" s="370"/>
      <c r="EX5" s="371"/>
      <c r="EY5" s="371"/>
      <c r="EZ5" s="370"/>
      <c r="FA5" s="370"/>
      <c r="FB5" s="371"/>
      <c r="FC5" s="371"/>
      <c r="FD5" s="370"/>
      <c r="FE5" s="370"/>
      <c r="FF5" s="371"/>
      <c r="FG5" s="371"/>
      <c r="FH5" s="370"/>
      <c r="FI5" s="370"/>
      <c r="FJ5" s="371"/>
      <c r="FK5" s="371"/>
      <c r="FL5" s="370"/>
      <c r="FM5" s="370"/>
      <c r="FN5" s="371"/>
      <c r="FO5" s="371"/>
      <c r="FP5" s="370"/>
      <c r="FQ5" s="370"/>
      <c r="FR5" s="371"/>
      <c r="FS5" s="371"/>
      <c r="FT5" s="370"/>
      <c r="FU5" s="370"/>
      <c r="FV5" s="371"/>
      <c r="FW5" s="371"/>
      <c r="FX5" s="370"/>
      <c r="FY5" s="370"/>
      <c r="FZ5" s="371"/>
      <c r="GA5" s="371"/>
      <c r="GB5" s="370"/>
      <c r="GC5" s="370"/>
      <c r="GD5" s="371"/>
      <c r="GE5" s="371"/>
      <c r="GF5" s="370"/>
      <c r="GG5" s="370"/>
      <c r="GH5" s="371"/>
      <c r="GI5" s="371"/>
      <c r="GJ5" s="370"/>
      <c r="GK5" s="370"/>
      <c r="GL5" s="371"/>
      <c r="GM5" s="371"/>
      <c r="GN5" s="370"/>
      <c r="GO5" s="370"/>
      <c r="GP5" s="371"/>
      <c r="GQ5" s="371"/>
      <c r="GR5" s="370"/>
      <c r="GS5" s="370"/>
    </row>
    <row r="6">
      <c r="A6" s="367" t="s">
        <v>219</v>
      </c>
      <c r="B6" s="371"/>
      <c r="C6" s="371"/>
      <c r="D6" s="370"/>
      <c r="E6" s="370"/>
      <c r="F6" s="371"/>
      <c r="G6" s="371"/>
      <c r="H6" s="370"/>
      <c r="I6" s="370"/>
      <c r="J6" s="371"/>
      <c r="K6" s="371"/>
      <c r="L6" s="370"/>
      <c r="M6" s="370"/>
      <c r="N6" s="371"/>
      <c r="O6" s="371"/>
      <c r="P6" s="370"/>
      <c r="Q6" s="370"/>
      <c r="R6" s="371"/>
      <c r="S6" s="371"/>
      <c r="T6" s="370"/>
      <c r="U6" s="370"/>
      <c r="V6" s="371"/>
      <c r="W6" s="371"/>
      <c r="X6" s="370"/>
      <c r="Y6" s="370"/>
      <c r="Z6" s="371"/>
      <c r="AA6" s="371"/>
      <c r="AB6" s="370"/>
      <c r="AC6" s="370"/>
      <c r="AD6" s="371"/>
      <c r="AE6" s="371"/>
      <c r="AF6" s="370"/>
      <c r="AG6" s="370"/>
      <c r="AH6" s="371"/>
      <c r="AI6" s="371"/>
      <c r="AJ6" s="370"/>
      <c r="AK6" s="370"/>
      <c r="AL6" s="371"/>
      <c r="AM6" s="371"/>
      <c r="AN6" s="370"/>
      <c r="AO6" s="370"/>
      <c r="AP6" s="371"/>
      <c r="AQ6" s="371"/>
      <c r="AR6" s="370"/>
      <c r="AS6" s="370"/>
      <c r="AT6" s="371"/>
      <c r="AU6" s="371"/>
      <c r="AV6" s="370"/>
      <c r="AW6" s="370"/>
      <c r="AX6" s="371"/>
      <c r="AY6" s="371"/>
      <c r="AZ6" s="370"/>
      <c r="BA6" s="370"/>
      <c r="BB6" s="371"/>
      <c r="BC6" s="371"/>
      <c r="BD6" s="370"/>
      <c r="BE6" s="370"/>
      <c r="BF6" s="371"/>
      <c r="BG6" s="371"/>
      <c r="BH6" s="370"/>
      <c r="BI6" s="370"/>
      <c r="BJ6" s="371"/>
      <c r="BK6" s="371"/>
      <c r="BL6" s="370"/>
      <c r="BM6" s="370"/>
      <c r="BN6" s="371"/>
      <c r="BO6" s="371"/>
      <c r="BP6" s="370"/>
      <c r="BQ6" s="370"/>
      <c r="BR6" s="371"/>
      <c r="BS6" s="371"/>
      <c r="BT6" s="370"/>
      <c r="BU6" s="370"/>
      <c r="BV6" s="371"/>
      <c r="BW6" s="371"/>
      <c r="BX6" s="370"/>
      <c r="BY6" s="370"/>
      <c r="BZ6" s="371"/>
      <c r="CA6" s="371"/>
      <c r="CB6" s="370"/>
      <c r="CC6" s="370"/>
      <c r="CD6" s="371"/>
      <c r="CE6" s="371"/>
      <c r="CF6" s="370"/>
      <c r="CG6" s="370"/>
      <c r="CH6" s="371"/>
      <c r="CI6" s="371"/>
      <c r="CJ6" s="370"/>
      <c r="CK6" s="370"/>
      <c r="CL6" s="371"/>
      <c r="CM6" s="371"/>
      <c r="CN6" s="370"/>
      <c r="CO6" s="370"/>
      <c r="CP6" s="371"/>
      <c r="CQ6" s="371"/>
      <c r="CR6" s="370"/>
      <c r="CS6" s="370"/>
      <c r="CT6" s="371"/>
      <c r="CU6" s="371"/>
      <c r="CV6" s="370"/>
      <c r="CW6" s="370"/>
      <c r="CX6" s="371"/>
      <c r="CY6" s="371"/>
      <c r="CZ6" s="370"/>
      <c r="DA6" s="370"/>
      <c r="DB6" s="371"/>
      <c r="DC6" s="371"/>
      <c r="DD6" s="370"/>
      <c r="DE6" s="370"/>
      <c r="DF6" s="371"/>
      <c r="DG6" s="371"/>
      <c r="DH6" s="370"/>
      <c r="DI6" s="370"/>
      <c r="DJ6" s="371"/>
      <c r="DK6" s="371"/>
      <c r="DL6" s="370"/>
      <c r="DM6" s="370"/>
      <c r="DN6" s="371"/>
      <c r="DO6" s="371"/>
      <c r="DP6" s="370"/>
      <c r="DQ6" s="370"/>
      <c r="DR6" s="371"/>
      <c r="DS6" s="371"/>
      <c r="DT6" s="370"/>
      <c r="DU6" s="370"/>
      <c r="DV6" s="371"/>
      <c r="DW6" s="371"/>
      <c r="DX6" s="370"/>
      <c r="DY6" s="370"/>
      <c r="DZ6" s="371"/>
      <c r="EA6" s="371"/>
      <c r="EB6" s="370"/>
      <c r="EC6" s="370"/>
      <c r="ED6" s="371"/>
      <c r="EE6" s="371"/>
      <c r="EF6" s="370"/>
      <c r="EG6" s="370"/>
      <c r="EH6" s="371"/>
      <c r="EI6" s="371"/>
      <c r="EJ6" s="370"/>
      <c r="EK6" s="370"/>
      <c r="EL6" s="371"/>
      <c r="EM6" s="371"/>
      <c r="EN6" s="370"/>
      <c r="EO6" s="370"/>
      <c r="EP6" s="371"/>
      <c r="EQ6" s="371"/>
      <c r="ER6" s="370"/>
      <c r="ES6" s="370"/>
      <c r="ET6" s="371"/>
      <c r="EU6" s="371"/>
      <c r="EV6" s="370"/>
      <c r="EW6" s="370"/>
      <c r="EX6" s="371"/>
      <c r="EY6" s="371"/>
      <c r="EZ6" s="370"/>
      <c r="FA6" s="370"/>
      <c r="FB6" s="371"/>
      <c r="FC6" s="371"/>
      <c r="FD6" s="370"/>
      <c r="FE6" s="370"/>
      <c r="FF6" s="371"/>
      <c r="FG6" s="371"/>
      <c r="FH6" s="370"/>
      <c r="FI6" s="370"/>
      <c r="FJ6" s="371"/>
      <c r="FK6" s="371"/>
      <c r="FL6" s="370"/>
      <c r="FM6" s="370"/>
      <c r="FN6" s="371"/>
      <c r="FO6" s="371"/>
      <c r="FP6" s="370"/>
      <c r="FQ6" s="370"/>
      <c r="FR6" s="371"/>
      <c r="FS6" s="371"/>
      <c r="FT6" s="370"/>
      <c r="FU6" s="370"/>
      <c r="FV6" s="371"/>
      <c r="FW6" s="371"/>
      <c r="FX6" s="370"/>
      <c r="FY6" s="370"/>
      <c r="FZ6" s="371"/>
      <c r="GA6" s="371"/>
      <c r="GB6" s="370"/>
      <c r="GC6" s="370"/>
      <c r="GD6" s="371"/>
      <c r="GE6" s="371"/>
      <c r="GF6" s="370"/>
      <c r="GG6" s="370"/>
      <c r="GH6" s="371"/>
      <c r="GI6" s="371"/>
      <c r="GJ6" s="370"/>
      <c r="GK6" s="370"/>
      <c r="GL6" s="371"/>
      <c r="GM6" s="371"/>
      <c r="GN6" s="370"/>
      <c r="GO6" s="370"/>
      <c r="GP6" s="371"/>
      <c r="GQ6" s="371"/>
      <c r="GR6" s="370"/>
      <c r="GS6" s="370"/>
    </row>
    <row r="7">
      <c r="A7" s="367" t="s">
        <v>220</v>
      </c>
      <c r="B7" s="371"/>
      <c r="C7" s="371"/>
      <c r="D7" s="370"/>
      <c r="E7" s="370"/>
      <c r="F7" s="371"/>
      <c r="G7" s="371"/>
      <c r="H7" s="370"/>
      <c r="I7" s="370"/>
      <c r="J7" s="371"/>
      <c r="K7" s="371"/>
      <c r="L7" s="370"/>
      <c r="M7" s="370"/>
      <c r="N7" s="371"/>
      <c r="O7" s="371"/>
      <c r="P7" s="370"/>
      <c r="Q7" s="370"/>
      <c r="R7" s="371"/>
      <c r="S7" s="371"/>
      <c r="T7" s="370"/>
      <c r="U7" s="370"/>
      <c r="V7" s="371"/>
      <c r="W7" s="371"/>
      <c r="X7" s="370"/>
      <c r="Y7" s="370"/>
      <c r="Z7" s="371"/>
      <c r="AA7" s="371"/>
      <c r="AB7" s="370"/>
      <c r="AC7" s="370"/>
      <c r="AD7" s="371"/>
      <c r="AE7" s="371"/>
      <c r="AF7" s="370"/>
      <c r="AG7" s="370"/>
      <c r="AH7" s="371"/>
      <c r="AI7" s="371"/>
      <c r="AJ7" s="370"/>
      <c r="AK7" s="370"/>
      <c r="AL7" s="371"/>
      <c r="AM7" s="371"/>
      <c r="AN7" s="370"/>
      <c r="AO7" s="370"/>
      <c r="AP7" s="371"/>
      <c r="AQ7" s="371"/>
      <c r="AR7" s="370"/>
      <c r="AS7" s="370"/>
      <c r="AT7" s="371"/>
      <c r="AU7" s="371"/>
      <c r="AV7" s="370"/>
      <c r="AW7" s="370"/>
      <c r="AX7" s="371"/>
      <c r="AY7" s="371"/>
      <c r="AZ7" s="370"/>
      <c r="BA7" s="370"/>
      <c r="BB7" s="371"/>
      <c r="BC7" s="371"/>
      <c r="BD7" s="370"/>
      <c r="BE7" s="370"/>
      <c r="BF7" s="371"/>
      <c r="BG7" s="371"/>
      <c r="BH7" s="370"/>
      <c r="BI7" s="370"/>
      <c r="BJ7" s="371"/>
      <c r="BK7" s="371"/>
      <c r="BL7" s="370"/>
      <c r="BM7" s="370"/>
      <c r="BN7" s="371"/>
      <c r="BO7" s="371"/>
      <c r="BP7" s="370"/>
      <c r="BQ7" s="370"/>
      <c r="BR7" s="371"/>
      <c r="BS7" s="371"/>
      <c r="BT7" s="370"/>
      <c r="BU7" s="370"/>
      <c r="BV7" s="371"/>
      <c r="BW7" s="371"/>
      <c r="BX7" s="370"/>
      <c r="BY7" s="370"/>
      <c r="BZ7" s="371"/>
      <c r="CA7" s="371"/>
      <c r="CB7" s="370"/>
      <c r="CC7" s="370"/>
      <c r="CD7" s="371"/>
      <c r="CE7" s="371"/>
      <c r="CF7" s="370"/>
      <c r="CG7" s="370"/>
      <c r="CH7" s="371"/>
      <c r="CI7" s="371"/>
      <c r="CJ7" s="370"/>
      <c r="CK7" s="370"/>
      <c r="CL7" s="371"/>
      <c r="CM7" s="371"/>
      <c r="CN7" s="370"/>
      <c r="CO7" s="370"/>
      <c r="CP7" s="371"/>
      <c r="CQ7" s="371"/>
      <c r="CR7" s="370"/>
      <c r="CS7" s="370"/>
      <c r="CT7" s="371"/>
      <c r="CU7" s="371"/>
      <c r="CV7" s="370"/>
      <c r="CW7" s="370"/>
      <c r="CX7" s="371"/>
      <c r="CY7" s="371"/>
      <c r="CZ7" s="370"/>
      <c r="DA7" s="370"/>
      <c r="DB7" s="371"/>
      <c r="DC7" s="371"/>
      <c r="DD7" s="370"/>
      <c r="DE7" s="370"/>
      <c r="DF7" s="371"/>
      <c r="DG7" s="371"/>
      <c r="DH7" s="370"/>
      <c r="DI7" s="370"/>
      <c r="DJ7" s="371"/>
      <c r="DK7" s="371"/>
      <c r="DL7" s="370"/>
      <c r="DM7" s="370"/>
      <c r="DN7" s="371"/>
      <c r="DO7" s="371"/>
      <c r="DP7" s="370"/>
      <c r="DQ7" s="370"/>
      <c r="DR7" s="371"/>
      <c r="DS7" s="371"/>
      <c r="DT7" s="370"/>
      <c r="DU7" s="370"/>
      <c r="DV7" s="371"/>
      <c r="DW7" s="371"/>
      <c r="DX7" s="370"/>
      <c r="DY7" s="370"/>
      <c r="DZ7" s="371"/>
      <c r="EA7" s="371"/>
      <c r="EB7" s="370"/>
      <c r="EC7" s="370"/>
      <c r="ED7" s="371"/>
      <c r="EE7" s="371"/>
      <c r="EF7" s="370"/>
      <c r="EG7" s="370"/>
      <c r="EH7" s="371"/>
      <c r="EI7" s="371"/>
      <c r="EJ7" s="370"/>
      <c r="EK7" s="370"/>
      <c r="EL7" s="371"/>
      <c r="EM7" s="371"/>
      <c r="EN7" s="370"/>
      <c r="EO7" s="370"/>
      <c r="EP7" s="371"/>
      <c r="EQ7" s="371"/>
      <c r="ER7" s="370"/>
      <c r="ES7" s="370"/>
      <c r="ET7" s="371"/>
      <c r="EU7" s="371"/>
      <c r="EV7" s="370"/>
      <c r="EW7" s="370"/>
      <c r="EX7" s="371"/>
      <c r="EY7" s="371"/>
      <c r="EZ7" s="370"/>
      <c r="FA7" s="370"/>
      <c r="FB7" s="371"/>
      <c r="FC7" s="371"/>
      <c r="FD7" s="370"/>
      <c r="FE7" s="370"/>
      <c r="FF7" s="371"/>
      <c r="FG7" s="371"/>
      <c r="FH7" s="370"/>
      <c r="FI7" s="370"/>
      <c r="FJ7" s="371"/>
      <c r="FK7" s="371"/>
      <c r="FL7" s="370"/>
      <c r="FM7" s="370"/>
      <c r="FN7" s="371"/>
      <c r="FO7" s="371"/>
      <c r="FP7" s="370"/>
      <c r="FQ7" s="370"/>
      <c r="FR7" s="371"/>
      <c r="FS7" s="371"/>
      <c r="FT7" s="370"/>
      <c r="FU7" s="370"/>
      <c r="FV7" s="371"/>
      <c r="FW7" s="371"/>
      <c r="FX7" s="370"/>
      <c r="FY7" s="370"/>
      <c r="FZ7" s="371"/>
      <c r="GA7" s="371"/>
      <c r="GB7" s="370"/>
      <c r="GC7" s="370"/>
      <c r="GD7" s="371"/>
      <c r="GE7" s="371"/>
      <c r="GF7" s="370"/>
      <c r="GG7" s="370"/>
      <c r="GH7" s="371"/>
      <c r="GI7" s="371"/>
      <c r="GJ7" s="370"/>
      <c r="GK7" s="370"/>
      <c r="GL7" s="371"/>
      <c r="GM7" s="371"/>
      <c r="GN7" s="370"/>
      <c r="GO7" s="370"/>
      <c r="GP7" s="371"/>
      <c r="GQ7" s="371"/>
      <c r="GR7" s="370"/>
      <c r="GS7" s="370"/>
    </row>
    <row r="8">
      <c r="A8" s="365" t="s">
        <v>221</v>
      </c>
      <c r="B8" s="365"/>
      <c r="C8" s="365"/>
      <c r="D8" s="365"/>
      <c r="E8" s="365"/>
      <c r="F8" s="365"/>
      <c r="G8" s="365"/>
      <c r="H8" s="365"/>
      <c r="I8" s="365"/>
      <c r="J8" s="365"/>
      <c r="K8" s="365"/>
      <c r="L8" s="365"/>
      <c r="M8" s="365"/>
      <c r="N8" s="365"/>
      <c r="O8" s="365"/>
      <c r="P8" s="365"/>
      <c r="Q8" s="365"/>
      <c r="R8" s="365"/>
      <c r="S8" s="365"/>
      <c r="T8" s="365"/>
      <c r="U8" s="365"/>
      <c r="V8" s="365"/>
      <c r="W8" s="365"/>
      <c r="X8" s="365"/>
      <c r="Y8" s="365"/>
      <c r="Z8" s="365"/>
      <c r="AA8" s="365"/>
      <c r="AB8" s="365"/>
      <c r="AC8" s="365"/>
      <c r="AD8" s="365"/>
      <c r="AE8" s="365"/>
      <c r="AF8" s="365"/>
      <c r="AG8" s="365"/>
      <c r="AH8" s="365"/>
      <c r="AI8" s="365"/>
      <c r="AJ8" s="365"/>
      <c r="AK8" s="365"/>
      <c r="AL8" s="365"/>
      <c r="AM8" s="365"/>
      <c r="AN8" s="365"/>
      <c r="AO8" s="365"/>
      <c r="AP8" s="365"/>
      <c r="AQ8" s="365"/>
      <c r="AR8" s="365"/>
      <c r="AS8" s="365"/>
      <c r="AT8" s="365"/>
      <c r="AU8" s="365"/>
      <c r="AV8" s="365"/>
      <c r="AW8" s="365"/>
      <c r="AX8" s="365"/>
      <c r="AY8" s="365"/>
      <c r="AZ8" s="365"/>
      <c r="BA8" s="365"/>
      <c r="BB8" s="365"/>
      <c r="BC8" s="365"/>
      <c r="BD8" s="365"/>
      <c r="BE8" s="365"/>
      <c r="BF8" s="365"/>
      <c r="BG8" s="365"/>
      <c r="BH8" s="365"/>
      <c r="BI8" s="365"/>
      <c r="BJ8" s="365"/>
      <c r="BK8" s="365"/>
      <c r="BL8" s="365"/>
      <c r="BM8" s="365"/>
      <c r="BN8" s="365"/>
      <c r="BO8" s="365"/>
      <c r="BP8" s="365"/>
      <c r="BQ8" s="365"/>
      <c r="BR8" s="365"/>
      <c r="BS8" s="365"/>
      <c r="BT8" s="365"/>
      <c r="BU8" s="365"/>
      <c r="BV8" s="365"/>
      <c r="BW8" s="365"/>
      <c r="BX8" s="365"/>
      <c r="BY8" s="365"/>
      <c r="BZ8" s="365"/>
      <c r="CA8" s="365"/>
      <c r="CB8" s="365"/>
      <c r="CC8" s="365"/>
      <c r="CD8" s="365"/>
      <c r="CE8" s="365"/>
      <c r="CF8" s="365"/>
      <c r="CG8" s="365"/>
      <c r="CH8" s="365"/>
      <c r="CI8" s="365"/>
      <c r="CJ8" s="365"/>
      <c r="CK8" s="365"/>
      <c r="CL8" s="365"/>
      <c r="CM8" s="365"/>
      <c r="CN8" s="365"/>
      <c r="CO8" s="365"/>
      <c r="CP8" s="365"/>
      <c r="CQ8" s="365"/>
      <c r="CR8" s="365"/>
      <c r="CS8" s="365"/>
      <c r="CT8" s="365"/>
      <c r="CU8" s="365"/>
      <c r="CV8" s="365"/>
      <c r="CW8" s="365"/>
      <c r="CX8" s="365"/>
      <c r="CY8" s="365"/>
      <c r="CZ8" s="365"/>
      <c r="DA8" s="365"/>
      <c r="DB8" s="365"/>
      <c r="DC8" s="365"/>
      <c r="DD8" s="365"/>
      <c r="DE8" s="365"/>
      <c r="DF8" s="365"/>
      <c r="DG8" s="365"/>
      <c r="DH8" s="365"/>
      <c r="DI8" s="365"/>
      <c r="DJ8" s="365"/>
      <c r="DK8" s="365"/>
      <c r="DL8" s="365"/>
      <c r="DM8" s="365"/>
      <c r="DN8" s="365"/>
      <c r="DO8" s="365"/>
      <c r="DP8" s="365"/>
      <c r="DQ8" s="365"/>
      <c r="DR8" s="365"/>
      <c r="DS8" s="365"/>
      <c r="DT8" s="365"/>
      <c r="DU8" s="365"/>
      <c r="DV8" s="365"/>
      <c r="DW8" s="365"/>
      <c r="DX8" s="365"/>
      <c r="DY8" s="365"/>
      <c r="DZ8" s="365"/>
      <c r="EA8" s="365"/>
      <c r="EB8" s="365"/>
      <c r="EC8" s="365"/>
      <c r="ED8" s="365"/>
      <c r="EE8" s="365"/>
      <c r="EF8" s="365"/>
      <c r="EG8" s="365"/>
      <c r="EH8" s="365"/>
      <c r="EI8" s="365"/>
      <c r="EJ8" s="365"/>
      <c r="EK8" s="365"/>
      <c r="EL8" s="365"/>
      <c r="EM8" s="365"/>
      <c r="EN8" s="365"/>
      <c r="EO8" s="365"/>
      <c r="EP8" s="365"/>
      <c r="EQ8" s="365"/>
      <c r="ER8" s="365"/>
      <c r="ES8" s="365"/>
      <c r="ET8" s="365"/>
      <c r="EU8" s="365"/>
      <c r="EV8" s="365"/>
      <c r="EW8" s="365"/>
      <c r="EX8" s="365"/>
      <c r="EY8" s="365"/>
      <c r="EZ8" s="365"/>
      <c r="FA8" s="365"/>
      <c r="FB8" s="365"/>
      <c r="FC8" s="365"/>
      <c r="FD8" s="365"/>
      <c r="FE8" s="365"/>
      <c r="FF8" s="365"/>
      <c r="FG8" s="365"/>
      <c r="FH8" s="365"/>
      <c r="FI8" s="365"/>
      <c r="FJ8" s="365"/>
      <c r="FK8" s="365"/>
      <c r="FL8" s="365"/>
      <c r="FM8" s="365"/>
      <c r="FN8" s="365"/>
      <c r="FO8" s="365"/>
      <c r="FP8" s="365"/>
      <c r="FQ8" s="365"/>
      <c r="FR8" s="365"/>
      <c r="FS8" s="365"/>
      <c r="FT8" s="365"/>
      <c r="FU8" s="365"/>
      <c r="FV8" s="365"/>
      <c r="FW8" s="365"/>
      <c r="FX8" s="365"/>
      <c r="FY8" s="365"/>
      <c r="FZ8" s="365"/>
      <c r="GA8" s="365"/>
      <c r="GB8" s="365"/>
      <c r="GC8" s="365"/>
      <c r="GD8" s="365"/>
      <c r="GE8" s="365"/>
      <c r="GF8" s="365"/>
      <c r="GG8" s="365"/>
      <c r="GH8" s="365"/>
      <c r="GI8" s="365"/>
      <c r="GJ8" s="365"/>
      <c r="GK8" s="365"/>
      <c r="GL8" s="365"/>
      <c r="GM8" s="365"/>
      <c r="GN8" s="365"/>
      <c r="GO8" s="365"/>
      <c r="GP8" s="365"/>
      <c r="GQ8" s="365"/>
      <c r="GR8" s="365"/>
      <c r="GS8" s="365"/>
    </row>
    <row r="9">
      <c r="A9" s="380" t="s">
        <v>222</v>
      </c>
      <c r="B9" s="371"/>
      <c r="C9" s="371"/>
      <c r="D9" s="370"/>
      <c r="E9" s="370"/>
      <c r="F9" s="371"/>
      <c r="G9" s="371"/>
      <c r="H9" s="370"/>
      <c r="I9" s="370"/>
      <c r="J9" s="371"/>
      <c r="K9" s="371"/>
      <c r="L9" s="370"/>
      <c r="M9" s="370"/>
      <c r="N9" s="371"/>
      <c r="O9" s="371"/>
      <c r="P9" s="370"/>
      <c r="Q9" s="370"/>
      <c r="R9" s="371"/>
      <c r="S9" s="371"/>
      <c r="T9" s="370"/>
      <c r="U9" s="370"/>
      <c r="V9" s="371"/>
      <c r="W9" s="371"/>
      <c r="X9" s="370"/>
      <c r="Y9" s="370"/>
      <c r="Z9" s="371"/>
      <c r="AA9" s="371"/>
      <c r="AB9" s="370"/>
      <c r="AC9" s="370"/>
      <c r="AD9" s="371"/>
      <c r="AE9" s="371"/>
      <c r="AF9" s="370"/>
      <c r="AG9" s="370"/>
      <c r="AH9" s="371"/>
      <c r="AI9" s="371"/>
      <c r="AJ9" s="370"/>
      <c r="AK9" s="370"/>
      <c r="AL9" s="371"/>
      <c r="AM9" s="371"/>
      <c r="AN9" s="370"/>
      <c r="AO9" s="370"/>
      <c r="AP9" s="371"/>
      <c r="AQ9" s="371"/>
      <c r="AR9" s="370"/>
      <c r="AS9" s="370"/>
      <c r="AT9" s="371"/>
      <c r="AU9" s="371"/>
      <c r="AV9" s="370"/>
      <c r="AW9" s="370"/>
      <c r="AX9" s="371"/>
      <c r="AY9" s="371"/>
      <c r="AZ9" s="370"/>
      <c r="BA9" s="370"/>
      <c r="BB9" s="371"/>
      <c r="BC9" s="371"/>
      <c r="BD9" s="370"/>
      <c r="BE9" s="370"/>
      <c r="BF9" s="371"/>
      <c r="BG9" s="371"/>
      <c r="BH9" s="370"/>
      <c r="BI9" s="370"/>
      <c r="BJ9" s="371"/>
      <c r="BK9" s="371"/>
      <c r="BL9" s="370"/>
      <c r="BM9" s="370"/>
      <c r="BN9" s="371"/>
      <c r="BO9" s="371"/>
      <c r="BP9" s="370"/>
      <c r="BQ9" s="370"/>
      <c r="BR9" s="371"/>
      <c r="BS9" s="371"/>
      <c r="BT9" s="370"/>
      <c r="BU9" s="370"/>
      <c r="BV9" s="371"/>
      <c r="BW9" s="371"/>
      <c r="BX9" s="370"/>
      <c r="BY9" s="370"/>
      <c r="BZ9" s="371"/>
      <c r="CA9" s="371"/>
      <c r="CB9" s="370"/>
      <c r="CC9" s="370"/>
      <c r="CD9" s="371"/>
      <c r="CE9" s="371"/>
      <c r="CF9" s="370"/>
      <c r="CG9" s="370"/>
      <c r="CH9" s="371"/>
      <c r="CI9" s="371"/>
      <c r="CJ9" s="370"/>
      <c r="CK9" s="370"/>
      <c r="CL9" s="371"/>
      <c r="CM9" s="371"/>
      <c r="CN9" s="370"/>
      <c r="CO9" s="370"/>
      <c r="CP9" s="371"/>
      <c r="CQ9" s="371"/>
      <c r="CR9" s="370"/>
      <c r="CS9" s="370"/>
      <c r="CT9" s="371"/>
      <c r="CU9" s="371"/>
      <c r="CV9" s="370"/>
      <c r="CW9" s="370"/>
      <c r="CX9" s="371"/>
      <c r="CY9" s="371"/>
      <c r="CZ9" s="370"/>
      <c r="DA9" s="370"/>
      <c r="DB9" s="371"/>
      <c r="DC9" s="371"/>
      <c r="DD9" s="370"/>
      <c r="DE9" s="370"/>
      <c r="DF9" s="371"/>
      <c r="DG9" s="371"/>
      <c r="DH9" s="370"/>
      <c r="DI9" s="370"/>
      <c r="DJ9" s="371"/>
      <c r="DK9" s="371"/>
      <c r="DL9" s="370"/>
      <c r="DM9" s="370"/>
      <c r="DN9" s="371"/>
      <c r="DO9" s="371"/>
      <c r="DP9" s="370"/>
      <c r="DQ9" s="370"/>
      <c r="DR9" s="371"/>
      <c r="DS9" s="371"/>
      <c r="DT9" s="370"/>
      <c r="DU9" s="370"/>
      <c r="DV9" s="371"/>
      <c r="DW9" s="371"/>
      <c r="DX9" s="370"/>
      <c r="DY9" s="370"/>
      <c r="DZ9" s="371"/>
      <c r="EA9" s="371"/>
      <c r="EB9" s="370"/>
      <c r="EC9" s="370"/>
      <c r="ED9" s="371"/>
      <c r="EE9" s="371"/>
      <c r="EF9" s="370"/>
      <c r="EG9" s="370"/>
      <c r="EH9" s="371"/>
      <c r="EI9" s="371"/>
      <c r="EJ9" s="370"/>
      <c r="EK9" s="370"/>
      <c r="EL9" s="371"/>
      <c r="EM9" s="371"/>
      <c r="EN9" s="370"/>
      <c r="EO9" s="370"/>
      <c r="EP9" s="371"/>
      <c r="EQ9" s="371"/>
      <c r="ER9" s="370"/>
      <c r="ES9" s="370"/>
      <c r="ET9" s="371"/>
      <c r="EU9" s="371"/>
      <c r="EV9" s="370"/>
      <c r="EW9" s="370"/>
      <c r="EX9" s="371"/>
      <c r="EY9" s="371"/>
      <c r="EZ9" s="370"/>
      <c r="FA9" s="370"/>
      <c r="FB9" s="371"/>
      <c r="FC9" s="371"/>
      <c r="FD9" s="370"/>
      <c r="FE9" s="370"/>
      <c r="FF9" s="371"/>
      <c r="FG9" s="371"/>
      <c r="FH9" s="370"/>
      <c r="FI9" s="370"/>
      <c r="FJ9" s="371"/>
      <c r="FK9" s="371"/>
      <c r="FL9" s="370"/>
      <c r="FM9" s="370"/>
      <c r="FN9" s="371"/>
      <c r="FO9" s="371"/>
      <c r="FP9" s="370"/>
      <c r="FQ9" s="370"/>
      <c r="FR9" s="371"/>
      <c r="FS9" s="371"/>
      <c r="FT9" s="370"/>
      <c r="FU9" s="370"/>
      <c r="FV9" s="371"/>
      <c r="FW9" s="371"/>
      <c r="FX9" s="370"/>
      <c r="FY9" s="370"/>
      <c r="FZ9" s="371"/>
      <c r="GA9" s="371"/>
      <c r="GB9" s="370"/>
      <c r="GC9" s="370"/>
      <c r="GD9" s="371"/>
      <c r="GE9" s="371"/>
      <c r="GF9" s="370"/>
      <c r="GG9" s="370"/>
      <c r="GH9" s="371"/>
      <c r="GI9" s="371"/>
      <c r="GJ9" s="370"/>
      <c r="GK9" s="370"/>
      <c r="GL9" s="371"/>
      <c r="GM9" s="371"/>
      <c r="GN9" s="370"/>
      <c r="GO9" s="370"/>
      <c r="GP9" s="371"/>
      <c r="GQ9" s="371"/>
      <c r="GR9" s="370"/>
      <c r="GS9" s="370"/>
    </row>
    <row r="10">
      <c r="A10" s="380" t="s">
        <v>223</v>
      </c>
      <c r="B10" s="371"/>
      <c r="C10" s="371"/>
      <c r="D10" s="370"/>
      <c r="E10" s="370"/>
      <c r="F10" s="371"/>
      <c r="G10" s="371"/>
      <c r="H10" s="370"/>
      <c r="I10" s="370"/>
      <c r="J10" s="371"/>
      <c r="K10" s="371"/>
      <c r="L10" s="370"/>
      <c r="M10" s="370"/>
      <c r="N10" s="371"/>
      <c r="O10" s="371"/>
      <c r="P10" s="370"/>
      <c r="Q10" s="370"/>
      <c r="R10" s="371"/>
      <c r="S10" s="371"/>
      <c r="T10" s="370"/>
      <c r="U10" s="370"/>
      <c r="V10" s="371"/>
      <c r="W10" s="371"/>
      <c r="X10" s="370"/>
      <c r="Y10" s="370"/>
      <c r="Z10" s="371"/>
      <c r="AA10" s="371"/>
      <c r="AB10" s="370"/>
      <c r="AC10" s="370"/>
      <c r="AD10" s="371"/>
      <c r="AE10" s="371"/>
      <c r="AF10" s="370"/>
      <c r="AG10" s="370"/>
      <c r="AH10" s="371"/>
      <c r="AI10" s="371"/>
      <c r="AJ10" s="370"/>
      <c r="AK10" s="370"/>
      <c r="AL10" s="371"/>
      <c r="AM10" s="371"/>
      <c r="AN10" s="370"/>
      <c r="AO10" s="370"/>
      <c r="AP10" s="371"/>
      <c r="AQ10" s="371"/>
      <c r="AR10" s="370"/>
      <c r="AS10" s="370"/>
      <c r="AT10" s="371"/>
      <c r="AU10" s="371"/>
      <c r="AV10" s="370"/>
      <c r="AW10" s="370"/>
      <c r="AX10" s="371"/>
      <c r="AY10" s="371"/>
      <c r="AZ10" s="370"/>
      <c r="BA10" s="370"/>
      <c r="BB10" s="371"/>
      <c r="BC10" s="371"/>
      <c r="BD10" s="370"/>
      <c r="BE10" s="370"/>
      <c r="BF10" s="371"/>
      <c r="BG10" s="371"/>
      <c r="BH10" s="370"/>
      <c r="BI10" s="370"/>
      <c r="BJ10" s="371"/>
      <c r="BK10" s="371"/>
      <c r="BL10" s="370"/>
      <c r="BM10" s="370"/>
      <c r="BN10" s="371"/>
      <c r="BO10" s="371"/>
      <c r="BP10" s="370"/>
      <c r="BQ10" s="370"/>
      <c r="BR10" s="371"/>
      <c r="BS10" s="371"/>
      <c r="BT10" s="370"/>
      <c r="BU10" s="370"/>
      <c r="BV10" s="371"/>
      <c r="BW10" s="371"/>
      <c r="BX10" s="370"/>
      <c r="BY10" s="370"/>
      <c r="BZ10" s="371"/>
      <c r="CA10" s="371"/>
      <c r="CB10" s="370"/>
      <c r="CC10" s="370"/>
      <c r="CD10" s="371"/>
      <c r="CE10" s="371"/>
      <c r="CF10" s="370"/>
      <c r="CG10" s="370"/>
      <c r="CH10" s="371"/>
      <c r="CI10" s="371"/>
      <c r="CJ10" s="370"/>
      <c r="CK10" s="370"/>
      <c r="CL10" s="371"/>
      <c r="CM10" s="371"/>
      <c r="CN10" s="370"/>
      <c r="CO10" s="370"/>
      <c r="CP10" s="371"/>
      <c r="CQ10" s="371"/>
      <c r="CR10" s="370"/>
      <c r="CS10" s="370"/>
      <c r="CT10" s="371"/>
      <c r="CU10" s="371"/>
      <c r="CV10" s="370"/>
      <c r="CW10" s="370"/>
      <c r="CX10" s="371"/>
      <c r="CY10" s="371"/>
      <c r="CZ10" s="370"/>
      <c r="DA10" s="370"/>
      <c r="DB10" s="371"/>
      <c r="DC10" s="371"/>
      <c r="DD10" s="370"/>
      <c r="DE10" s="370"/>
      <c r="DF10" s="371"/>
      <c r="DG10" s="371"/>
      <c r="DH10" s="370"/>
      <c r="DI10" s="370"/>
      <c r="DJ10" s="371"/>
      <c r="DK10" s="371"/>
      <c r="DL10" s="370"/>
      <c r="DM10" s="370"/>
      <c r="DN10" s="371"/>
      <c r="DO10" s="371"/>
      <c r="DP10" s="370"/>
      <c r="DQ10" s="370"/>
      <c r="DR10" s="371"/>
      <c r="DS10" s="371"/>
      <c r="DT10" s="370"/>
      <c r="DU10" s="370"/>
      <c r="DV10" s="371"/>
      <c r="DW10" s="371"/>
      <c r="DX10" s="370"/>
      <c r="DY10" s="370"/>
      <c r="DZ10" s="371"/>
      <c r="EA10" s="371"/>
      <c r="EB10" s="370"/>
      <c r="EC10" s="370"/>
      <c r="ED10" s="371"/>
      <c r="EE10" s="371"/>
      <c r="EF10" s="370"/>
      <c r="EG10" s="370"/>
      <c r="EH10" s="371"/>
      <c r="EI10" s="371"/>
      <c r="EJ10" s="370"/>
      <c r="EK10" s="370"/>
      <c r="EL10" s="371"/>
      <c r="EM10" s="371"/>
      <c r="EN10" s="370"/>
      <c r="EO10" s="370"/>
      <c r="EP10" s="371"/>
      <c r="EQ10" s="371"/>
      <c r="ER10" s="370"/>
      <c r="ES10" s="370"/>
      <c r="ET10" s="371"/>
      <c r="EU10" s="371"/>
      <c r="EV10" s="370"/>
      <c r="EW10" s="370"/>
      <c r="EX10" s="371"/>
      <c r="EY10" s="371"/>
      <c r="EZ10" s="370"/>
      <c r="FA10" s="370"/>
      <c r="FB10" s="371"/>
      <c r="FC10" s="371"/>
      <c r="FD10" s="370"/>
      <c r="FE10" s="370"/>
      <c r="FF10" s="371"/>
      <c r="FG10" s="371"/>
      <c r="FH10" s="370"/>
      <c r="FI10" s="370"/>
      <c r="FJ10" s="371"/>
      <c r="FK10" s="371"/>
      <c r="FL10" s="370"/>
      <c r="FM10" s="370"/>
      <c r="FN10" s="371"/>
      <c r="FO10" s="371"/>
      <c r="FP10" s="370"/>
      <c r="FQ10" s="370"/>
      <c r="FR10" s="371"/>
      <c r="FS10" s="371"/>
      <c r="FT10" s="370"/>
      <c r="FU10" s="370"/>
      <c r="FV10" s="371"/>
      <c r="FW10" s="371"/>
      <c r="FX10" s="370"/>
      <c r="FY10" s="370"/>
      <c r="FZ10" s="371"/>
      <c r="GA10" s="371"/>
      <c r="GB10" s="370"/>
      <c r="GC10" s="370"/>
      <c r="GD10" s="371"/>
      <c r="GE10" s="371"/>
      <c r="GF10" s="370"/>
      <c r="GG10" s="370"/>
      <c r="GH10" s="371"/>
      <c r="GI10" s="371"/>
      <c r="GJ10" s="370"/>
      <c r="GK10" s="370"/>
      <c r="GL10" s="371"/>
      <c r="GM10" s="371"/>
      <c r="GN10" s="370"/>
      <c r="GO10" s="370"/>
      <c r="GP10" s="371"/>
      <c r="GQ10" s="371"/>
      <c r="GR10" s="370"/>
      <c r="GS10" s="370"/>
    </row>
    <row r="11">
      <c r="A11" s="380" t="s">
        <v>224</v>
      </c>
      <c r="B11" s="371"/>
      <c r="C11" s="371"/>
      <c r="D11" s="370"/>
      <c r="E11" s="370"/>
      <c r="F11" s="371"/>
      <c r="G11" s="371"/>
      <c r="H11" s="370"/>
      <c r="I11" s="370"/>
      <c r="J11" s="371"/>
      <c r="K11" s="371"/>
      <c r="L11" s="370"/>
      <c r="M11" s="370"/>
      <c r="N11" s="371"/>
      <c r="O11" s="371"/>
      <c r="P11" s="370"/>
      <c r="Q11" s="370"/>
      <c r="R11" s="371"/>
      <c r="S11" s="371"/>
      <c r="T11" s="370"/>
      <c r="U11" s="370"/>
      <c r="V11" s="371"/>
      <c r="W11" s="371"/>
      <c r="X11" s="370"/>
      <c r="Y11" s="370"/>
      <c r="Z11" s="371"/>
      <c r="AA11" s="371"/>
      <c r="AB11" s="370"/>
      <c r="AC11" s="370"/>
      <c r="AD11" s="371"/>
      <c r="AE11" s="371"/>
      <c r="AF11" s="370"/>
      <c r="AG11" s="370"/>
      <c r="AH11" s="371"/>
      <c r="AI11" s="371"/>
      <c r="AJ11" s="370"/>
      <c r="AK11" s="370"/>
      <c r="AL11" s="371"/>
      <c r="AM11" s="371"/>
      <c r="AN11" s="370"/>
      <c r="AO11" s="370"/>
      <c r="AP11" s="371"/>
      <c r="AQ11" s="371"/>
      <c r="AR11" s="370"/>
      <c r="AS11" s="370"/>
      <c r="AT11" s="371"/>
      <c r="AU11" s="371"/>
      <c r="AV11" s="370"/>
      <c r="AW11" s="370"/>
      <c r="AX11" s="371"/>
      <c r="AY11" s="371"/>
      <c r="AZ11" s="370"/>
      <c r="BA11" s="370"/>
      <c r="BB11" s="371"/>
      <c r="BC11" s="371"/>
      <c r="BD11" s="370"/>
      <c r="BE11" s="370"/>
      <c r="BF11" s="371"/>
      <c r="BG11" s="371"/>
      <c r="BH11" s="370"/>
      <c r="BI11" s="370"/>
      <c r="BJ11" s="371"/>
      <c r="BK11" s="371"/>
      <c r="BL11" s="370"/>
      <c r="BM11" s="370"/>
      <c r="BN11" s="371"/>
      <c r="BO11" s="371"/>
      <c r="BP11" s="370"/>
      <c r="BQ11" s="370"/>
      <c r="BR11" s="371"/>
      <c r="BS11" s="371"/>
      <c r="BT11" s="370"/>
      <c r="BU11" s="370"/>
      <c r="BV11" s="371"/>
      <c r="BW11" s="371"/>
      <c r="BX11" s="370"/>
      <c r="BY11" s="370"/>
      <c r="BZ11" s="371"/>
      <c r="CA11" s="371"/>
      <c r="CB11" s="370"/>
      <c r="CC11" s="370"/>
      <c r="CD11" s="371"/>
      <c r="CE11" s="371"/>
      <c r="CF11" s="370"/>
      <c r="CG11" s="370"/>
      <c r="CH11" s="371"/>
      <c r="CI11" s="371"/>
      <c r="CJ11" s="370"/>
      <c r="CK11" s="370"/>
      <c r="CL11" s="371"/>
      <c r="CM11" s="371"/>
      <c r="CN11" s="370"/>
      <c r="CO11" s="370"/>
      <c r="CP11" s="371"/>
      <c r="CQ11" s="371"/>
      <c r="CR11" s="370"/>
      <c r="CS11" s="370"/>
      <c r="CT11" s="371"/>
      <c r="CU11" s="371"/>
      <c r="CV11" s="370"/>
      <c r="CW11" s="370"/>
      <c r="CX11" s="371"/>
      <c r="CY11" s="371"/>
      <c r="CZ11" s="370"/>
      <c r="DA11" s="370"/>
      <c r="DB11" s="371"/>
      <c r="DC11" s="371"/>
      <c r="DD11" s="370"/>
      <c r="DE11" s="370"/>
      <c r="DF11" s="371"/>
      <c r="DG11" s="371"/>
      <c r="DH11" s="370"/>
      <c r="DI11" s="370"/>
      <c r="DJ11" s="371"/>
      <c r="DK11" s="371"/>
      <c r="DL11" s="370"/>
      <c r="DM11" s="370"/>
      <c r="DN11" s="371"/>
      <c r="DO11" s="371"/>
      <c r="DP11" s="370"/>
      <c r="DQ11" s="370"/>
      <c r="DR11" s="371"/>
      <c r="DS11" s="371"/>
      <c r="DT11" s="370"/>
      <c r="DU11" s="370"/>
      <c r="DV11" s="371"/>
      <c r="DW11" s="371"/>
      <c r="DX11" s="370"/>
      <c r="DY11" s="370"/>
      <c r="DZ11" s="371"/>
      <c r="EA11" s="371"/>
      <c r="EB11" s="370"/>
      <c r="EC11" s="370"/>
      <c r="ED11" s="371"/>
      <c r="EE11" s="371"/>
      <c r="EF11" s="370"/>
      <c r="EG11" s="370"/>
      <c r="EH11" s="371"/>
      <c r="EI11" s="371"/>
      <c r="EJ11" s="370"/>
      <c r="EK11" s="370"/>
      <c r="EL11" s="371"/>
      <c r="EM11" s="371"/>
      <c r="EN11" s="370"/>
      <c r="EO11" s="370"/>
      <c r="EP11" s="371"/>
      <c r="EQ11" s="371"/>
      <c r="ER11" s="370"/>
      <c r="ES11" s="370"/>
      <c r="ET11" s="371"/>
      <c r="EU11" s="371"/>
      <c r="EV11" s="370"/>
      <c r="EW11" s="370"/>
      <c r="EX11" s="371"/>
      <c r="EY11" s="371"/>
      <c r="EZ11" s="370"/>
      <c r="FA11" s="370"/>
      <c r="FB11" s="371"/>
      <c r="FC11" s="371"/>
      <c r="FD11" s="370"/>
      <c r="FE11" s="370"/>
      <c r="FF11" s="371"/>
      <c r="FG11" s="371"/>
      <c r="FH11" s="370"/>
      <c r="FI11" s="370"/>
      <c r="FJ11" s="371"/>
      <c r="FK11" s="371"/>
      <c r="FL11" s="370"/>
      <c r="FM11" s="370"/>
      <c r="FN11" s="371"/>
      <c r="FO11" s="371"/>
      <c r="FP11" s="370"/>
      <c r="FQ11" s="370"/>
      <c r="FR11" s="371"/>
      <c r="FS11" s="371"/>
      <c r="FT11" s="370"/>
      <c r="FU11" s="370"/>
      <c r="FV11" s="371"/>
      <c r="FW11" s="371"/>
      <c r="FX11" s="370"/>
      <c r="FY11" s="370"/>
      <c r="FZ11" s="371"/>
      <c r="GA11" s="371"/>
      <c r="GB11" s="370"/>
      <c r="GC11" s="370"/>
      <c r="GD11" s="371"/>
      <c r="GE11" s="371"/>
      <c r="GF11" s="370"/>
      <c r="GG11" s="370"/>
      <c r="GH11" s="371"/>
      <c r="GI11" s="371"/>
      <c r="GJ11" s="370"/>
      <c r="GK11" s="370"/>
      <c r="GL11" s="371"/>
      <c r="GM11" s="371"/>
      <c r="GN11" s="370"/>
      <c r="GO11" s="370"/>
      <c r="GP11" s="371"/>
      <c r="GQ11" s="371"/>
      <c r="GR11" s="370"/>
      <c r="GS11" s="370"/>
    </row>
    <row r="12">
      <c r="A12" s="365" t="s">
        <v>225</v>
      </c>
      <c r="B12" s="365"/>
      <c r="C12" s="365"/>
      <c r="D12" s="365"/>
      <c r="E12" s="365"/>
      <c r="F12" s="365"/>
      <c r="G12" s="365"/>
      <c r="H12" s="365"/>
      <c r="I12" s="365"/>
      <c r="J12" s="365"/>
      <c r="K12" s="365"/>
      <c r="L12" s="365"/>
      <c r="M12" s="365"/>
      <c r="N12" s="365"/>
      <c r="O12" s="365"/>
      <c r="P12" s="365"/>
      <c r="Q12" s="365"/>
      <c r="R12" s="365"/>
      <c r="S12" s="365"/>
      <c r="T12" s="365"/>
      <c r="U12" s="365"/>
      <c r="V12" s="365"/>
      <c r="W12" s="365"/>
      <c r="X12" s="365"/>
      <c r="Y12" s="365"/>
      <c r="Z12" s="365"/>
      <c r="AA12" s="365"/>
      <c r="AB12" s="365"/>
      <c r="AC12" s="365"/>
      <c r="AD12" s="365"/>
      <c r="AE12" s="365"/>
      <c r="AF12" s="365"/>
      <c r="AG12" s="365"/>
      <c r="AH12" s="365"/>
      <c r="AI12" s="365"/>
      <c r="AJ12" s="365"/>
      <c r="AK12" s="365"/>
      <c r="AL12" s="365"/>
      <c r="AM12" s="365"/>
      <c r="AN12" s="365"/>
      <c r="AO12" s="365"/>
      <c r="AP12" s="365"/>
      <c r="AQ12" s="365"/>
      <c r="AR12" s="365"/>
      <c r="AS12" s="365"/>
      <c r="AT12" s="365"/>
      <c r="AU12" s="365"/>
      <c r="AV12" s="365"/>
      <c r="AW12" s="365"/>
      <c r="AX12" s="365"/>
      <c r="AY12" s="365"/>
      <c r="AZ12" s="365"/>
      <c r="BA12" s="365"/>
      <c r="BB12" s="365"/>
      <c r="BC12" s="365"/>
      <c r="BD12" s="365"/>
      <c r="BE12" s="365"/>
      <c r="BF12" s="365"/>
      <c r="BG12" s="365"/>
      <c r="BH12" s="365"/>
      <c r="BI12" s="365"/>
      <c r="BJ12" s="365"/>
      <c r="BK12" s="365"/>
      <c r="BL12" s="365"/>
      <c r="BM12" s="365"/>
      <c r="BN12" s="365"/>
      <c r="BO12" s="365"/>
      <c r="BP12" s="365"/>
      <c r="BQ12" s="365"/>
      <c r="BR12" s="365"/>
      <c r="BS12" s="365"/>
      <c r="BT12" s="365"/>
      <c r="BU12" s="365"/>
      <c r="BV12" s="365"/>
      <c r="BW12" s="365"/>
      <c r="BX12" s="365"/>
      <c r="BY12" s="365"/>
      <c r="BZ12" s="365"/>
      <c r="CA12" s="365"/>
      <c r="CB12" s="365"/>
      <c r="CC12" s="365"/>
      <c r="CD12" s="365"/>
      <c r="CE12" s="365"/>
      <c r="CF12" s="365"/>
      <c r="CG12" s="365"/>
      <c r="CH12" s="365"/>
      <c r="CI12" s="365"/>
      <c r="CJ12" s="365"/>
      <c r="CK12" s="365"/>
      <c r="CL12" s="365"/>
      <c r="CM12" s="365"/>
      <c r="CN12" s="365"/>
      <c r="CO12" s="365"/>
      <c r="CP12" s="365"/>
      <c r="CQ12" s="365"/>
      <c r="CR12" s="365"/>
      <c r="CS12" s="365"/>
      <c r="CT12" s="365"/>
      <c r="CU12" s="365"/>
      <c r="CV12" s="365"/>
      <c r="CW12" s="365"/>
      <c r="CX12" s="365"/>
      <c r="CY12" s="365"/>
      <c r="CZ12" s="365"/>
      <c r="DA12" s="365"/>
      <c r="DB12" s="365"/>
      <c r="DC12" s="365"/>
      <c r="DD12" s="365"/>
      <c r="DE12" s="365"/>
      <c r="DF12" s="365"/>
      <c r="DG12" s="365"/>
      <c r="DH12" s="365"/>
      <c r="DI12" s="365"/>
      <c r="DJ12" s="365"/>
      <c r="DK12" s="365"/>
      <c r="DL12" s="365"/>
      <c r="DM12" s="365"/>
      <c r="DN12" s="365"/>
      <c r="DO12" s="365"/>
      <c r="DP12" s="365"/>
      <c r="DQ12" s="365"/>
      <c r="DR12" s="365"/>
      <c r="DS12" s="365"/>
      <c r="DT12" s="365"/>
      <c r="DU12" s="365"/>
      <c r="DV12" s="365"/>
      <c r="DW12" s="365"/>
      <c r="DX12" s="365"/>
      <c r="DY12" s="365"/>
      <c r="DZ12" s="365"/>
      <c r="EA12" s="365"/>
      <c r="EB12" s="365"/>
      <c r="EC12" s="365"/>
      <c r="ED12" s="365"/>
      <c r="EE12" s="365"/>
      <c r="EF12" s="365"/>
      <c r="EG12" s="365"/>
      <c r="EH12" s="365"/>
      <c r="EI12" s="365"/>
      <c r="EJ12" s="365"/>
      <c r="EK12" s="365"/>
      <c r="EL12" s="365"/>
      <c r="EM12" s="365"/>
      <c r="EN12" s="365"/>
      <c r="EO12" s="365"/>
      <c r="EP12" s="365"/>
      <c r="EQ12" s="365"/>
      <c r="ER12" s="365"/>
      <c r="ES12" s="365"/>
      <c r="ET12" s="365"/>
      <c r="EU12" s="365"/>
      <c r="EV12" s="365"/>
      <c r="EW12" s="365"/>
      <c r="EX12" s="365"/>
      <c r="EY12" s="365"/>
      <c r="EZ12" s="365"/>
      <c r="FA12" s="365"/>
      <c r="FB12" s="365"/>
      <c r="FC12" s="365"/>
      <c r="FD12" s="365"/>
      <c r="FE12" s="365"/>
      <c r="FF12" s="365"/>
      <c r="FG12" s="365"/>
      <c r="FH12" s="365"/>
      <c r="FI12" s="365"/>
      <c r="FJ12" s="365"/>
      <c r="FK12" s="365"/>
      <c r="FL12" s="365"/>
      <c r="FM12" s="365"/>
      <c r="FN12" s="365"/>
      <c r="FO12" s="365"/>
      <c r="FP12" s="365"/>
      <c r="FQ12" s="365"/>
      <c r="FR12" s="365"/>
      <c r="FS12" s="365"/>
      <c r="FT12" s="365"/>
      <c r="FU12" s="365"/>
      <c r="FV12" s="365"/>
      <c r="FW12" s="365"/>
      <c r="FX12" s="365"/>
      <c r="FY12" s="365"/>
      <c r="FZ12" s="365"/>
      <c r="GA12" s="365"/>
      <c r="GB12" s="365"/>
      <c r="GC12" s="365"/>
      <c r="GD12" s="365"/>
      <c r="GE12" s="365"/>
      <c r="GF12" s="365"/>
      <c r="GG12" s="365"/>
      <c r="GH12" s="365"/>
      <c r="GI12" s="365"/>
      <c r="GJ12" s="365"/>
      <c r="GK12" s="365"/>
      <c r="GL12" s="365"/>
      <c r="GM12" s="365"/>
      <c r="GN12" s="365"/>
      <c r="GO12" s="365"/>
      <c r="GP12" s="365"/>
      <c r="GQ12" s="365"/>
      <c r="GR12" s="365"/>
      <c r="GS12" s="365"/>
    </row>
    <row r="13">
      <c r="A13" s="367" t="s">
        <v>226</v>
      </c>
      <c r="B13" s="371"/>
      <c r="C13" s="371"/>
      <c r="D13" s="370"/>
      <c r="E13" s="370"/>
      <c r="F13" s="371"/>
      <c r="G13" s="371"/>
      <c r="H13" s="370"/>
      <c r="I13" s="370"/>
      <c r="J13" s="371"/>
      <c r="K13" s="371"/>
      <c r="L13" s="370"/>
      <c r="M13" s="370"/>
      <c r="N13" s="371"/>
      <c r="O13" s="371"/>
      <c r="P13" s="370"/>
      <c r="Q13" s="370"/>
      <c r="R13" s="371"/>
      <c r="S13" s="371"/>
      <c r="T13" s="370"/>
      <c r="U13" s="370"/>
      <c r="V13" s="371"/>
      <c r="W13" s="371"/>
      <c r="X13" s="370"/>
      <c r="Y13" s="370"/>
      <c r="Z13" s="371"/>
      <c r="AA13" s="371"/>
      <c r="AB13" s="370"/>
      <c r="AC13" s="370"/>
      <c r="AD13" s="371"/>
      <c r="AE13" s="371"/>
      <c r="AF13" s="370"/>
      <c r="AG13" s="370"/>
      <c r="AH13" s="371"/>
      <c r="AI13" s="371"/>
      <c r="AJ13" s="370"/>
      <c r="AK13" s="370"/>
      <c r="AL13" s="371"/>
      <c r="AM13" s="371"/>
      <c r="AN13" s="370"/>
      <c r="AO13" s="370"/>
      <c r="AP13" s="371"/>
      <c r="AQ13" s="371"/>
      <c r="AR13" s="370"/>
      <c r="AS13" s="370"/>
      <c r="AT13" s="371"/>
      <c r="AU13" s="371"/>
      <c r="AV13" s="370"/>
      <c r="AW13" s="370"/>
      <c r="AX13" s="371"/>
      <c r="AY13" s="371"/>
      <c r="AZ13" s="370"/>
      <c r="BA13" s="370"/>
      <c r="BB13" s="371"/>
      <c r="BC13" s="371"/>
      <c r="BD13" s="370"/>
      <c r="BE13" s="370"/>
      <c r="BF13" s="371"/>
      <c r="BG13" s="371"/>
      <c r="BH13" s="370"/>
      <c r="BI13" s="370"/>
      <c r="BJ13" s="371"/>
      <c r="BK13" s="371"/>
      <c r="BL13" s="370"/>
      <c r="BM13" s="370"/>
      <c r="BN13" s="371"/>
      <c r="BO13" s="371"/>
      <c r="BP13" s="370"/>
      <c r="BQ13" s="370"/>
      <c r="BR13" s="371"/>
      <c r="BS13" s="371"/>
      <c r="BT13" s="370"/>
      <c r="BU13" s="370"/>
      <c r="BV13" s="371"/>
      <c r="BW13" s="371"/>
      <c r="BX13" s="370"/>
      <c r="BY13" s="370"/>
      <c r="BZ13" s="371"/>
      <c r="CA13" s="371"/>
      <c r="CB13" s="370"/>
      <c r="CC13" s="370"/>
      <c r="CD13" s="371"/>
      <c r="CE13" s="371"/>
      <c r="CF13" s="370"/>
      <c r="CG13" s="370"/>
      <c r="CH13" s="371"/>
      <c r="CI13" s="371"/>
      <c r="CJ13" s="370"/>
      <c r="CK13" s="370"/>
      <c r="CL13" s="371"/>
      <c r="CM13" s="371"/>
      <c r="CN13" s="370"/>
      <c r="CO13" s="370"/>
      <c r="CP13" s="371"/>
      <c r="CQ13" s="371"/>
      <c r="CR13" s="370"/>
      <c r="CS13" s="370"/>
      <c r="CT13" s="371"/>
      <c r="CU13" s="371"/>
      <c r="CV13" s="370"/>
      <c r="CW13" s="370"/>
      <c r="CX13" s="371"/>
      <c r="CY13" s="371"/>
      <c r="CZ13" s="370"/>
      <c r="DA13" s="370"/>
      <c r="DB13" s="371"/>
      <c r="DC13" s="371"/>
      <c r="DD13" s="370"/>
      <c r="DE13" s="370"/>
      <c r="DF13" s="371"/>
      <c r="DG13" s="371"/>
      <c r="DH13" s="370"/>
      <c r="DI13" s="370"/>
      <c r="DJ13" s="371"/>
      <c r="DK13" s="371"/>
      <c r="DL13" s="370"/>
      <c r="DM13" s="370"/>
      <c r="DN13" s="371"/>
      <c r="DO13" s="371"/>
      <c r="DP13" s="370"/>
      <c r="DQ13" s="370"/>
      <c r="DR13" s="371"/>
      <c r="DS13" s="371"/>
      <c r="DT13" s="370"/>
      <c r="DU13" s="370"/>
      <c r="DV13" s="371"/>
      <c r="DW13" s="371"/>
      <c r="DX13" s="370"/>
      <c r="DY13" s="370"/>
      <c r="DZ13" s="371"/>
      <c r="EA13" s="371"/>
      <c r="EB13" s="370"/>
      <c r="EC13" s="370"/>
      <c r="ED13" s="371"/>
      <c r="EE13" s="371"/>
      <c r="EF13" s="370"/>
      <c r="EG13" s="370"/>
      <c r="EH13" s="371"/>
      <c r="EI13" s="371"/>
      <c r="EJ13" s="370"/>
      <c r="EK13" s="370"/>
      <c r="EL13" s="371"/>
      <c r="EM13" s="371"/>
      <c r="EN13" s="370"/>
      <c r="EO13" s="370"/>
      <c r="EP13" s="371"/>
      <c r="EQ13" s="371"/>
      <c r="ER13" s="370"/>
      <c r="ES13" s="370"/>
      <c r="ET13" s="371"/>
      <c r="EU13" s="371"/>
      <c r="EV13" s="370"/>
      <c r="EW13" s="370"/>
      <c r="EX13" s="371"/>
      <c r="EY13" s="371"/>
      <c r="EZ13" s="370"/>
      <c r="FA13" s="370"/>
      <c r="FB13" s="371"/>
      <c r="FC13" s="371"/>
      <c r="FD13" s="370"/>
      <c r="FE13" s="370"/>
      <c r="FF13" s="371"/>
      <c r="FG13" s="371"/>
      <c r="FH13" s="370"/>
      <c r="FI13" s="370"/>
      <c r="FJ13" s="371"/>
      <c r="FK13" s="371"/>
      <c r="FL13" s="370"/>
      <c r="FM13" s="370"/>
      <c r="FN13" s="371"/>
      <c r="FO13" s="371"/>
      <c r="FP13" s="370"/>
      <c r="FQ13" s="370"/>
      <c r="FR13" s="371"/>
      <c r="FS13" s="371"/>
      <c r="FT13" s="370"/>
      <c r="FU13" s="370"/>
      <c r="FV13" s="371"/>
      <c r="FW13" s="371"/>
      <c r="FX13" s="370"/>
      <c r="FY13" s="370"/>
      <c r="FZ13" s="371"/>
      <c r="GA13" s="371"/>
      <c r="GB13" s="370"/>
      <c r="GC13" s="370"/>
      <c r="GD13" s="371"/>
      <c r="GE13" s="371"/>
      <c r="GF13" s="370"/>
      <c r="GG13" s="370"/>
      <c r="GH13" s="371"/>
      <c r="GI13" s="371"/>
      <c r="GJ13" s="370"/>
      <c r="GK13" s="370"/>
      <c r="GL13" s="371"/>
      <c r="GM13" s="371"/>
      <c r="GN13" s="370"/>
      <c r="GO13" s="370"/>
      <c r="GP13" s="371"/>
      <c r="GQ13" s="371"/>
      <c r="GR13" s="370"/>
      <c r="GS13" s="370"/>
    </row>
    <row r="14">
      <c r="A14" s="367" t="s">
        <v>227</v>
      </c>
      <c r="B14" s="371"/>
      <c r="C14" s="371"/>
      <c r="D14" s="370"/>
      <c r="E14" s="370"/>
      <c r="F14" s="371"/>
      <c r="G14" s="371"/>
      <c r="H14" s="370"/>
      <c r="I14" s="370"/>
      <c r="J14" s="371"/>
      <c r="K14" s="371"/>
      <c r="L14" s="370"/>
      <c r="M14" s="370"/>
      <c r="N14" s="371"/>
      <c r="O14" s="371"/>
      <c r="P14" s="370"/>
      <c r="Q14" s="370"/>
      <c r="R14" s="371"/>
      <c r="S14" s="371"/>
      <c r="T14" s="370"/>
      <c r="U14" s="370"/>
      <c r="V14" s="371"/>
      <c r="W14" s="371"/>
      <c r="X14" s="370"/>
      <c r="Y14" s="370"/>
      <c r="Z14" s="371"/>
      <c r="AA14" s="371"/>
      <c r="AB14" s="370"/>
      <c r="AC14" s="370"/>
      <c r="AD14" s="371"/>
      <c r="AE14" s="371"/>
      <c r="AF14" s="370"/>
      <c r="AG14" s="370"/>
      <c r="AH14" s="371"/>
      <c r="AI14" s="371"/>
      <c r="AJ14" s="370"/>
      <c r="AK14" s="370"/>
      <c r="AL14" s="371"/>
      <c r="AM14" s="371"/>
      <c r="AN14" s="370"/>
      <c r="AO14" s="370"/>
      <c r="AP14" s="371"/>
      <c r="AQ14" s="371"/>
      <c r="AR14" s="370"/>
      <c r="AS14" s="370"/>
      <c r="AT14" s="371"/>
      <c r="AU14" s="371"/>
      <c r="AV14" s="370"/>
      <c r="AW14" s="370"/>
      <c r="AX14" s="371"/>
      <c r="AY14" s="371"/>
      <c r="AZ14" s="370"/>
      <c r="BA14" s="370"/>
      <c r="BB14" s="371"/>
      <c r="BC14" s="371"/>
      <c r="BD14" s="370"/>
      <c r="BE14" s="370"/>
      <c r="BF14" s="371"/>
      <c r="BG14" s="371"/>
      <c r="BH14" s="370"/>
      <c r="BI14" s="370"/>
      <c r="BJ14" s="371"/>
      <c r="BK14" s="371"/>
      <c r="BL14" s="370"/>
      <c r="BM14" s="370"/>
      <c r="BN14" s="371"/>
      <c r="BO14" s="371"/>
      <c r="BP14" s="370"/>
      <c r="BQ14" s="370"/>
      <c r="BR14" s="371"/>
      <c r="BS14" s="371"/>
      <c r="BT14" s="370"/>
      <c r="BU14" s="370"/>
      <c r="BV14" s="371"/>
      <c r="BW14" s="371"/>
      <c r="BX14" s="370"/>
      <c r="BY14" s="370"/>
      <c r="BZ14" s="371"/>
      <c r="CA14" s="371"/>
      <c r="CB14" s="370"/>
      <c r="CC14" s="370"/>
      <c r="CD14" s="371"/>
      <c r="CE14" s="371"/>
      <c r="CF14" s="370"/>
      <c r="CG14" s="370"/>
      <c r="CH14" s="371"/>
      <c r="CI14" s="371"/>
      <c r="CJ14" s="370"/>
      <c r="CK14" s="370"/>
      <c r="CL14" s="371"/>
      <c r="CM14" s="371"/>
      <c r="CN14" s="370"/>
      <c r="CO14" s="370"/>
      <c r="CP14" s="371"/>
      <c r="CQ14" s="371"/>
      <c r="CR14" s="370"/>
      <c r="CS14" s="370"/>
      <c r="CT14" s="371"/>
      <c r="CU14" s="371"/>
      <c r="CV14" s="370"/>
      <c r="CW14" s="370"/>
      <c r="CX14" s="371"/>
      <c r="CY14" s="371"/>
      <c r="CZ14" s="370"/>
      <c r="DA14" s="370"/>
      <c r="DB14" s="371"/>
      <c r="DC14" s="371"/>
      <c r="DD14" s="370"/>
      <c r="DE14" s="370"/>
      <c r="DF14" s="371"/>
      <c r="DG14" s="371"/>
      <c r="DH14" s="370"/>
      <c r="DI14" s="370"/>
      <c r="DJ14" s="371"/>
      <c r="DK14" s="371"/>
      <c r="DL14" s="370"/>
      <c r="DM14" s="370"/>
      <c r="DN14" s="371"/>
      <c r="DO14" s="371"/>
      <c r="DP14" s="370"/>
      <c r="DQ14" s="370"/>
      <c r="DR14" s="371"/>
      <c r="DS14" s="371"/>
      <c r="DT14" s="370"/>
      <c r="DU14" s="370"/>
      <c r="DV14" s="371"/>
      <c r="DW14" s="371"/>
      <c r="DX14" s="370"/>
      <c r="DY14" s="370"/>
      <c r="DZ14" s="371"/>
      <c r="EA14" s="371"/>
      <c r="EB14" s="370"/>
      <c r="EC14" s="370"/>
      <c r="ED14" s="371"/>
      <c r="EE14" s="371"/>
      <c r="EF14" s="370"/>
      <c r="EG14" s="370"/>
      <c r="EH14" s="371"/>
      <c r="EI14" s="371"/>
      <c r="EJ14" s="370"/>
      <c r="EK14" s="370"/>
      <c r="EL14" s="371"/>
      <c r="EM14" s="371"/>
      <c r="EN14" s="370"/>
      <c r="EO14" s="370"/>
      <c r="EP14" s="371"/>
      <c r="EQ14" s="371"/>
      <c r="ER14" s="370"/>
      <c r="ES14" s="370"/>
      <c r="ET14" s="371"/>
      <c r="EU14" s="371"/>
      <c r="EV14" s="370"/>
      <c r="EW14" s="370"/>
      <c r="EX14" s="371"/>
      <c r="EY14" s="371"/>
      <c r="EZ14" s="370"/>
      <c r="FA14" s="370"/>
      <c r="FB14" s="371"/>
      <c r="FC14" s="371"/>
      <c r="FD14" s="370"/>
      <c r="FE14" s="370"/>
      <c r="FF14" s="371"/>
      <c r="FG14" s="371"/>
      <c r="FH14" s="370"/>
      <c r="FI14" s="370"/>
      <c r="FJ14" s="371"/>
      <c r="FK14" s="371"/>
      <c r="FL14" s="370"/>
      <c r="FM14" s="370"/>
      <c r="FN14" s="371"/>
      <c r="FO14" s="371"/>
      <c r="FP14" s="370"/>
      <c r="FQ14" s="370"/>
      <c r="FR14" s="371"/>
      <c r="FS14" s="371"/>
      <c r="FT14" s="370"/>
      <c r="FU14" s="370"/>
      <c r="FV14" s="371"/>
      <c r="FW14" s="371"/>
      <c r="FX14" s="370"/>
      <c r="FY14" s="370"/>
      <c r="FZ14" s="371"/>
      <c r="GA14" s="371"/>
      <c r="GB14" s="370"/>
      <c r="GC14" s="370"/>
      <c r="GD14" s="371"/>
      <c r="GE14" s="371"/>
      <c r="GF14" s="370"/>
      <c r="GG14" s="370"/>
      <c r="GH14" s="371"/>
      <c r="GI14" s="371"/>
      <c r="GJ14" s="370"/>
      <c r="GK14" s="370"/>
      <c r="GL14" s="371"/>
      <c r="GM14" s="371"/>
      <c r="GN14" s="370"/>
      <c r="GO14" s="370"/>
      <c r="GP14" s="371"/>
      <c r="GQ14" s="371"/>
      <c r="GR14" s="370"/>
      <c r="GS14" s="370"/>
    </row>
    <row r="15">
      <c r="A15" s="367" t="s">
        <v>228</v>
      </c>
      <c r="B15" s="371"/>
      <c r="C15" s="371"/>
      <c r="D15" s="370"/>
      <c r="E15" s="370"/>
      <c r="F15" s="371"/>
      <c r="G15" s="371"/>
      <c r="H15" s="370"/>
      <c r="I15" s="370"/>
      <c r="J15" s="371"/>
      <c r="K15" s="371"/>
      <c r="L15" s="370"/>
      <c r="M15" s="370"/>
      <c r="N15" s="371"/>
      <c r="O15" s="371"/>
      <c r="P15" s="370"/>
      <c r="Q15" s="370"/>
      <c r="R15" s="371"/>
      <c r="S15" s="371"/>
      <c r="T15" s="370"/>
      <c r="U15" s="370"/>
      <c r="V15" s="371"/>
      <c r="W15" s="371"/>
      <c r="X15" s="370"/>
      <c r="Y15" s="370"/>
      <c r="Z15" s="371"/>
      <c r="AA15" s="371"/>
      <c r="AB15" s="370"/>
      <c r="AC15" s="370"/>
      <c r="AD15" s="371"/>
      <c r="AE15" s="371"/>
      <c r="AF15" s="370"/>
      <c r="AG15" s="370"/>
      <c r="AH15" s="371"/>
      <c r="AI15" s="371"/>
      <c r="AJ15" s="370"/>
      <c r="AK15" s="370"/>
      <c r="AL15" s="371"/>
      <c r="AM15" s="371"/>
      <c r="AN15" s="370"/>
      <c r="AO15" s="370"/>
      <c r="AP15" s="371"/>
      <c r="AQ15" s="371"/>
      <c r="AR15" s="370"/>
      <c r="AS15" s="370"/>
      <c r="AT15" s="371"/>
      <c r="AU15" s="371"/>
      <c r="AV15" s="370"/>
      <c r="AW15" s="370"/>
      <c r="AX15" s="371"/>
      <c r="AY15" s="371"/>
      <c r="AZ15" s="370"/>
      <c r="BA15" s="370"/>
      <c r="BB15" s="371"/>
      <c r="BC15" s="371"/>
      <c r="BD15" s="370"/>
      <c r="BE15" s="370"/>
      <c r="BF15" s="371"/>
      <c r="BG15" s="371"/>
      <c r="BH15" s="370"/>
      <c r="BI15" s="370"/>
      <c r="BJ15" s="371"/>
      <c r="BK15" s="371"/>
      <c r="BL15" s="370"/>
      <c r="BM15" s="370"/>
      <c r="BN15" s="371"/>
      <c r="BO15" s="371"/>
      <c r="BP15" s="370"/>
      <c r="BQ15" s="370"/>
      <c r="BR15" s="371"/>
      <c r="BS15" s="371"/>
      <c r="BT15" s="370"/>
      <c r="BU15" s="370"/>
      <c r="BV15" s="371"/>
      <c r="BW15" s="371"/>
      <c r="BX15" s="370"/>
      <c r="BY15" s="370"/>
      <c r="BZ15" s="371"/>
      <c r="CA15" s="371"/>
      <c r="CB15" s="370"/>
      <c r="CC15" s="370"/>
      <c r="CD15" s="371"/>
      <c r="CE15" s="371"/>
      <c r="CF15" s="370"/>
      <c r="CG15" s="370"/>
      <c r="CH15" s="371"/>
      <c r="CI15" s="371"/>
      <c r="CJ15" s="370"/>
      <c r="CK15" s="370"/>
      <c r="CL15" s="371"/>
      <c r="CM15" s="371"/>
      <c r="CN15" s="370"/>
      <c r="CO15" s="370"/>
      <c r="CP15" s="371"/>
      <c r="CQ15" s="371"/>
      <c r="CR15" s="370"/>
      <c r="CS15" s="370"/>
      <c r="CT15" s="371"/>
      <c r="CU15" s="371"/>
      <c r="CV15" s="370"/>
      <c r="CW15" s="370"/>
      <c r="CX15" s="371"/>
      <c r="CY15" s="371"/>
      <c r="CZ15" s="370"/>
      <c r="DA15" s="370"/>
      <c r="DB15" s="371"/>
      <c r="DC15" s="371"/>
      <c r="DD15" s="370"/>
      <c r="DE15" s="370"/>
      <c r="DF15" s="371"/>
      <c r="DG15" s="371"/>
      <c r="DH15" s="370"/>
      <c r="DI15" s="370"/>
      <c r="DJ15" s="371"/>
      <c r="DK15" s="371"/>
      <c r="DL15" s="370"/>
      <c r="DM15" s="370"/>
      <c r="DN15" s="371"/>
      <c r="DO15" s="371"/>
      <c r="DP15" s="370"/>
      <c r="DQ15" s="370"/>
      <c r="DR15" s="371"/>
      <c r="DS15" s="371"/>
      <c r="DT15" s="370"/>
      <c r="DU15" s="370"/>
      <c r="DV15" s="371"/>
      <c r="DW15" s="371"/>
      <c r="DX15" s="370"/>
      <c r="DY15" s="370"/>
      <c r="DZ15" s="371"/>
      <c r="EA15" s="371"/>
      <c r="EB15" s="370"/>
      <c r="EC15" s="370"/>
      <c r="ED15" s="371"/>
      <c r="EE15" s="371"/>
      <c r="EF15" s="370"/>
      <c r="EG15" s="370"/>
      <c r="EH15" s="371"/>
      <c r="EI15" s="371"/>
      <c r="EJ15" s="370"/>
      <c r="EK15" s="370"/>
      <c r="EL15" s="371"/>
      <c r="EM15" s="371"/>
      <c r="EN15" s="370"/>
      <c r="EO15" s="370"/>
      <c r="EP15" s="371"/>
      <c r="EQ15" s="371"/>
      <c r="ER15" s="370"/>
      <c r="ES15" s="370"/>
      <c r="ET15" s="371"/>
      <c r="EU15" s="371"/>
      <c r="EV15" s="370"/>
      <c r="EW15" s="370"/>
      <c r="EX15" s="371"/>
      <c r="EY15" s="371"/>
      <c r="EZ15" s="370"/>
      <c r="FA15" s="370"/>
      <c r="FB15" s="371"/>
      <c r="FC15" s="371"/>
      <c r="FD15" s="370"/>
      <c r="FE15" s="370"/>
      <c r="FF15" s="371"/>
      <c r="FG15" s="371"/>
      <c r="FH15" s="370"/>
      <c r="FI15" s="370"/>
      <c r="FJ15" s="371"/>
      <c r="FK15" s="371"/>
      <c r="FL15" s="370"/>
      <c r="FM15" s="370"/>
      <c r="FN15" s="371"/>
      <c r="FO15" s="371"/>
      <c r="FP15" s="370"/>
      <c r="FQ15" s="370"/>
      <c r="FR15" s="371"/>
      <c r="FS15" s="371"/>
      <c r="FT15" s="370"/>
      <c r="FU15" s="370"/>
      <c r="FV15" s="371"/>
      <c r="FW15" s="371"/>
      <c r="FX15" s="370"/>
      <c r="FY15" s="370"/>
      <c r="FZ15" s="371"/>
      <c r="GA15" s="371"/>
      <c r="GB15" s="370"/>
      <c r="GC15" s="370"/>
      <c r="GD15" s="371"/>
      <c r="GE15" s="371"/>
      <c r="GF15" s="370"/>
      <c r="GG15" s="370"/>
      <c r="GH15" s="371"/>
      <c r="GI15" s="371"/>
      <c r="GJ15" s="370"/>
      <c r="GK15" s="370"/>
      <c r="GL15" s="371"/>
      <c r="GM15" s="371"/>
      <c r="GN15" s="370"/>
      <c r="GO15" s="370"/>
      <c r="GP15" s="371"/>
      <c r="GQ15" s="371"/>
      <c r="GR15" s="370"/>
      <c r="GS15" s="370"/>
    </row>
    <row r="16">
      <c r="A16" s="367" t="s">
        <v>229</v>
      </c>
      <c r="B16" s="371"/>
      <c r="C16" s="371"/>
      <c r="D16" s="370"/>
      <c r="E16" s="370"/>
      <c r="F16" s="371"/>
      <c r="G16" s="371"/>
      <c r="H16" s="370"/>
      <c r="I16" s="370"/>
      <c r="J16" s="371"/>
      <c r="K16" s="371"/>
      <c r="L16" s="370"/>
      <c r="M16" s="370"/>
      <c r="N16" s="371"/>
      <c r="O16" s="371"/>
      <c r="P16" s="370"/>
      <c r="Q16" s="370"/>
      <c r="R16" s="371"/>
      <c r="S16" s="371"/>
      <c r="T16" s="370"/>
      <c r="U16" s="370"/>
      <c r="V16" s="371"/>
      <c r="W16" s="371"/>
      <c r="X16" s="370"/>
      <c r="Y16" s="370"/>
      <c r="Z16" s="371"/>
      <c r="AA16" s="371"/>
      <c r="AB16" s="370"/>
      <c r="AC16" s="370"/>
      <c r="AD16" s="371"/>
      <c r="AE16" s="371"/>
      <c r="AF16" s="370"/>
      <c r="AG16" s="370"/>
      <c r="AH16" s="371"/>
      <c r="AI16" s="371"/>
      <c r="AJ16" s="370"/>
      <c r="AK16" s="370"/>
      <c r="AL16" s="371"/>
      <c r="AM16" s="371"/>
      <c r="AN16" s="370"/>
      <c r="AO16" s="370"/>
      <c r="AP16" s="371"/>
      <c r="AQ16" s="371"/>
      <c r="AR16" s="370"/>
      <c r="AS16" s="370"/>
      <c r="AT16" s="371"/>
      <c r="AU16" s="371"/>
      <c r="AV16" s="370"/>
      <c r="AW16" s="370"/>
      <c r="AX16" s="371"/>
      <c r="AY16" s="371"/>
      <c r="AZ16" s="370"/>
      <c r="BA16" s="370"/>
      <c r="BB16" s="371"/>
      <c r="BC16" s="371"/>
      <c r="BD16" s="370"/>
      <c r="BE16" s="370"/>
      <c r="BF16" s="371"/>
      <c r="BG16" s="371"/>
      <c r="BH16" s="370"/>
      <c r="BI16" s="370"/>
      <c r="BJ16" s="371"/>
      <c r="BK16" s="371"/>
      <c r="BL16" s="370"/>
      <c r="BM16" s="370"/>
      <c r="BN16" s="371"/>
      <c r="BO16" s="371"/>
      <c r="BP16" s="370"/>
      <c r="BQ16" s="370"/>
      <c r="BR16" s="371"/>
      <c r="BS16" s="371"/>
      <c r="BT16" s="370"/>
      <c r="BU16" s="370"/>
      <c r="BV16" s="371"/>
      <c r="BW16" s="371"/>
      <c r="BX16" s="370"/>
      <c r="BY16" s="370"/>
      <c r="BZ16" s="371"/>
      <c r="CA16" s="371"/>
      <c r="CB16" s="370"/>
      <c r="CC16" s="370"/>
      <c r="CD16" s="371"/>
      <c r="CE16" s="371"/>
      <c r="CF16" s="370"/>
      <c r="CG16" s="370"/>
      <c r="CH16" s="371"/>
      <c r="CI16" s="371"/>
      <c r="CJ16" s="370"/>
      <c r="CK16" s="370"/>
      <c r="CL16" s="371"/>
      <c r="CM16" s="371"/>
      <c r="CN16" s="370"/>
      <c r="CO16" s="370"/>
      <c r="CP16" s="371"/>
      <c r="CQ16" s="371"/>
      <c r="CR16" s="370"/>
      <c r="CS16" s="370"/>
      <c r="CT16" s="371"/>
      <c r="CU16" s="371"/>
      <c r="CV16" s="370"/>
      <c r="CW16" s="370"/>
      <c r="CX16" s="371"/>
      <c r="CY16" s="371"/>
      <c r="CZ16" s="370"/>
      <c r="DA16" s="370"/>
      <c r="DB16" s="371"/>
      <c r="DC16" s="371"/>
      <c r="DD16" s="370"/>
      <c r="DE16" s="370"/>
      <c r="DF16" s="371"/>
      <c r="DG16" s="371"/>
      <c r="DH16" s="370"/>
      <c r="DI16" s="370"/>
      <c r="DJ16" s="371"/>
      <c r="DK16" s="371"/>
      <c r="DL16" s="370"/>
      <c r="DM16" s="370"/>
      <c r="DN16" s="371"/>
      <c r="DO16" s="371"/>
      <c r="DP16" s="370"/>
      <c r="DQ16" s="370"/>
      <c r="DR16" s="371"/>
      <c r="DS16" s="371"/>
      <c r="DT16" s="370"/>
      <c r="DU16" s="370"/>
      <c r="DV16" s="371"/>
      <c r="DW16" s="371"/>
      <c r="DX16" s="370"/>
      <c r="DY16" s="370"/>
      <c r="DZ16" s="371"/>
      <c r="EA16" s="371"/>
      <c r="EB16" s="370"/>
      <c r="EC16" s="370"/>
      <c r="ED16" s="371"/>
      <c r="EE16" s="371"/>
      <c r="EF16" s="370"/>
      <c r="EG16" s="370"/>
      <c r="EH16" s="371"/>
      <c r="EI16" s="371"/>
      <c r="EJ16" s="370"/>
      <c r="EK16" s="370"/>
      <c r="EL16" s="371"/>
      <c r="EM16" s="371"/>
      <c r="EN16" s="370"/>
      <c r="EO16" s="370"/>
      <c r="EP16" s="371"/>
      <c r="EQ16" s="371"/>
      <c r="ER16" s="370"/>
      <c r="ES16" s="370"/>
      <c r="ET16" s="371"/>
      <c r="EU16" s="371"/>
      <c r="EV16" s="370"/>
      <c r="EW16" s="370"/>
      <c r="EX16" s="371"/>
      <c r="EY16" s="371"/>
      <c r="EZ16" s="370"/>
      <c r="FA16" s="370"/>
      <c r="FB16" s="371"/>
      <c r="FC16" s="371"/>
      <c r="FD16" s="370"/>
      <c r="FE16" s="370"/>
      <c r="FF16" s="371"/>
      <c r="FG16" s="371"/>
      <c r="FH16" s="370"/>
      <c r="FI16" s="370"/>
      <c r="FJ16" s="371"/>
      <c r="FK16" s="371"/>
      <c r="FL16" s="370"/>
      <c r="FM16" s="370"/>
      <c r="FN16" s="371"/>
      <c r="FO16" s="371"/>
      <c r="FP16" s="370"/>
      <c r="FQ16" s="370"/>
      <c r="FR16" s="371"/>
      <c r="FS16" s="371"/>
      <c r="FT16" s="370"/>
      <c r="FU16" s="370"/>
      <c r="FV16" s="371"/>
      <c r="FW16" s="371"/>
      <c r="FX16" s="370"/>
      <c r="FY16" s="370"/>
      <c r="FZ16" s="371"/>
      <c r="GA16" s="371"/>
      <c r="GB16" s="370"/>
      <c r="GC16" s="370"/>
      <c r="GD16" s="371"/>
      <c r="GE16" s="371"/>
      <c r="GF16" s="370"/>
      <c r="GG16" s="370"/>
      <c r="GH16" s="371"/>
      <c r="GI16" s="371"/>
      <c r="GJ16" s="370"/>
      <c r="GK16" s="370"/>
      <c r="GL16" s="371"/>
      <c r="GM16" s="371"/>
      <c r="GN16" s="370"/>
      <c r="GO16" s="370"/>
      <c r="GP16" s="371"/>
      <c r="GQ16" s="371"/>
      <c r="GR16" s="370"/>
      <c r="GS16" s="370"/>
    </row>
    <row r="17">
      <c r="A17" s="365" t="s">
        <v>230</v>
      </c>
      <c r="B17" s="365"/>
      <c r="C17" s="365"/>
      <c r="D17" s="365"/>
      <c r="E17" s="365"/>
      <c r="F17" s="365"/>
      <c r="G17" s="365"/>
      <c r="H17" s="365"/>
      <c r="I17" s="365"/>
      <c r="J17" s="365"/>
      <c r="K17" s="365"/>
      <c r="L17" s="365"/>
      <c r="M17" s="365"/>
      <c r="N17" s="365"/>
      <c r="O17" s="365"/>
      <c r="P17" s="365"/>
      <c r="Q17" s="365"/>
      <c r="R17" s="365"/>
      <c r="S17" s="365"/>
      <c r="T17" s="365"/>
      <c r="U17" s="365"/>
      <c r="V17" s="365"/>
      <c r="W17" s="365"/>
      <c r="X17" s="365"/>
      <c r="Y17" s="365"/>
      <c r="Z17" s="365"/>
      <c r="AA17" s="365"/>
      <c r="AB17" s="365"/>
      <c r="AC17" s="365"/>
      <c r="AD17" s="365"/>
      <c r="AE17" s="365"/>
      <c r="AF17" s="365"/>
      <c r="AG17" s="365"/>
      <c r="AH17" s="365"/>
      <c r="AI17" s="365"/>
      <c r="AJ17" s="365"/>
      <c r="AK17" s="365"/>
      <c r="AL17" s="365"/>
      <c r="AM17" s="365"/>
      <c r="AN17" s="365"/>
      <c r="AO17" s="365"/>
      <c r="AP17" s="365"/>
      <c r="AQ17" s="365"/>
      <c r="AR17" s="365"/>
      <c r="AS17" s="365"/>
      <c r="AT17" s="365"/>
      <c r="AU17" s="365"/>
      <c r="AV17" s="365"/>
      <c r="AW17" s="365"/>
      <c r="AX17" s="365"/>
      <c r="AY17" s="365"/>
      <c r="AZ17" s="365"/>
      <c r="BA17" s="365"/>
      <c r="BB17" s="365"/>
      <c r="BC17" s="365"/>
      <c r="BD17" s="365"/>
      <c r="BE17" s="365"/>
      <c r="BF17" s="365"/>
      <c r="BG17" s="365"/>
      <c r="BH17" s="365"/>
      <c r="BI17" s="365"/>
      <c r="BJ17" s="365"/>
      <c r="BK17" s="365"/>
      <c r="BL17" s="365"/>
      <c r="BM17" s="365"/>
      <c r="BN17" s="365"/>
      <c r="BO17" s="365"/>
      <c r="BP17" s="365"/>
      <c r="BQ17" s="365"/>
      <c r="BR17" s="365"/>
      <c r="BS17" s="365"/>
      <c r="BT17" s="365"/>
      <c r="BU17" s="365"/>
      <c r="BV17" s="365"/>
      <c r="BW17" s="365"/>
      <c r="BX17" s="365"/>
      <c r="BY17" s="365"/>
      <c r="BZ17" s="365"/>
      <c r="CA17" s="365"/>
      <c r="CB17" s="365"/>
      <c r="CC17" s="365"/>
      <c r="CD17" s="365"/>
      <c r="CE17" s="365"/>
      <c r="CF17" s="365"/>
      <c r="CG17" s="365"/>
      <c r="CH17" s="365"/>
      <c r="CI17" s="365"/>
      <c r="CJ17" s="365"/>
      <c r="CK17" s="365"/>
      <c r="CL17" s="365"/>
      <c r="CM17" s="365"/>
      <c r="CN17" s="365"/>
      <c r="CO17" s="365"/>
      <c r="CP17" s="365"/>
      <c r="CQ17" s="365"/>
      <c r="CR17" s="365"/>
      <c r="CS17" s="365"/>
      <c r="CT17" s="365"/>
      <c r="CU17" s="365"/>
      <c r="CV17" s="365"/>
      <c r="CW17" s="365"/>
      <c r="CX17" s="365"/>
      <c r="CY17" s="365"/>
      <c r="CZ17" s="365"/>
      <c r="DA17" s="365"/>
      <c r="DB17" s="365"/>
      <c r="DC17" s="365"/>
      <c r="DD17" s="365"/>
      <c r="DE17" s="365"/>
      <c r="DF17" s="365"/>
      <c r="DG17" s="365"/>
      <c r="DH17" s="365"/>
      <c r="DI17" s="365"/>
      <c r="DJ17" s="365"/>
      <c r="DK17" s="365"/>
      <c r="DL17" s="365"/>
      <c r="DM17" s="365"/>
      <c r="DN17" s="365"/>
      <c r="DO17" s="365"/>
      <c r="DP17" s="365"/>
      <c r="DQ17" s="365"/>
      <c r="DR17" s="365"/>
      <c r="DS17" s="365"/>
      <c r="DT17" s="365"/>
      <c r="DU17" s="365"/>
      <c r="DV17" s="365"/>
      <c r="DW17" s="365"/>
      <c r="DX17" s="365"/>
      <c r="DY17" s="365"/>
      <c r="DZ17" s="365"/>
      <c r="EA17" s="365"/>
      <c r="EB17" s="365"/>
      <c r="EC17" s="365"/>
      <c r="ED17" s="365"/>
      <c r="EE17" s="365"/>
      <c r="EF17" s="365"/>
      <c r="EG17" s="365"/>
      <c r="EH17" s="365"/>
      <c r="EI17" s="365"/>
      <c r="EJ17" s="365"/>
      <c r="EK17" s="365"/>
      <c r="EL17" s="365"/>
      <c r="EM17" s="365"/>
      <c r="EN17" s="365"/>
      <c r="EO17" s="365"/>
      <c r="EP17" s="365"/>
      <c r="EQ17" s="365"/>
      <c r="ER17" s="365"/>
      <c r="ES17" s="365"/>
      <c r="ET17" s="365"/>
      <c r="EU17" s="365"/>
      <c r="EV17" s="365"/>
      <c r="EW17" s="365"/>
      <c r="EX17" s="365"/>
      <c r="EY17" s="365"/>
      <c r="EZ17" s="365"/>
      <c r="FA17" s="365"/>
      <c r="FB17" s="365"/>
      <c r="FC17" s="365"/>
      <c r="FD17" s="365"/>
      <c r="FE17" s="365"/>
      <c r="FF17" s="365"/>
      <c r="FG17" s="365"/>
      <c r="FH17" s="365"/>
      <c r="FI17" s="365"/>
      <c r="FJ17" s="365"/>
      <c r="FK17" s="365"/>
      <c r="FL17" s="365"/>
      <c r="FM17" s="365"/>
      <c r="FN17" s="365"/>
      <c r="FO17" s="365"/>
      <c r="FP17" s="365"/>
      <c r="FQ17" s="365"/>
      <c r="FR17" s="365"/>
      <c r="FS17" s="365"/>
      <c r="FT17" s="365"/>
      <c r="FU17" s="365"/>
      <c r="FV17" s="365"/>
      <c r="FW17" s="365"/>
      <c r="FX17" s="365"/>
      <c r="FY17" s="365"/>
      <c r="FZ17" s="365"/>
      <c r="GA17" s="365"/>
      <c r="GB17" s="365"/>
      <c r="GC17" s="365"/>
      <c r="GD17" s="365"/>
      <c r="GE17" s="365"/>
      <c r="GF17" s="365"/>
      <c r="GG17" s="365"/>
      <c r="GH17" s="365"/>
      <c r="GI17" s="365"/>
      <c r="GJ17" s="365"/>
      <c r="GK17" s="365"/>
      <c r="GL17" s="365"/>
      <c r="GM17" s="365"/>
      <c r="GN17" s="365"/>
      <c r="GO17" s="365"/>
      <c r="GP17" s="365"/>
      <c r="GQ17" s="365"/>
      <c r="GR17" s="365"/>
      <c r="GS17" s="365"/>
    </row>
    <row r="18">
      <c r="A18" s="380" t="s">
        <v>231</v>
      </c>
      <c r="B18" s="371"/>
      <c r="C18" s="371"/>
      <c r="D18" s="370"/>
      <c r="E18" s="370"/>
      <c r="F18" s="371"/>
      <c r="G18" s="371"/>
      <c r="H18" s="370"/>
      <c r="I18" s="370"/>
      <c r="J18" s="371"/>
      <c r="K18" s="371"/>
      <c r="L18" s="370"/>
      <c r="M18" s="370"/>
      <c r="N18" s="371"/>
      <c r="O18" s="371"/>
      <c r="P18" s="370"/>
      <c r="Q18" s="370"/>
      <c r="R18" s="371"/>
      <c r="S18" s="371"/>
      <c r="T18" s="370"/>
      <c r="U18" s="370"/>
      <c r="V18" s="371"/>
      <c r="W18" s="371"/>
      <c r="X18" s="370"/>
      <c r="Y18" s="370"/>
      <c r="Z18" s="371"/>
      <c r="AA18" s="371"/>
      <c r="AB18" s="370"/>
      <c r="AC18" s="370"/>
      <c r="AD18" s="371"/>
      <c r="AE18" s="371"/>
      <c r="AF18" s="370"/>
      <c r="AG18" s="370"/>
      <c r="AH18" s="371"/>
      <c r="AI18" s="371"/>
      <c r="AJ18" s="370"/>
      <c r="AK18" s="370"/>
      <c r="AL18" s="371"/>
      <c r="AM18" s="371"/>
      <c r="AN18" s="370"/>
      <c r="AO18" s="370"/>
      <c r="AP18" s="371"/>
      <c r="AQ18" s="371"/>
      <c r="AR18" s="370"/>
      <c r="AS18" s="370"/>
      <c r="AT18" s="371"/>
      <c r="AU18" s="371"/>
      <c r="AV18" s="370"/>
      <c r="AW18" s="370"/>
      <c r="AX18" s="371"/>
      <c r="AY18" s="371"/>
      <c r="AZ18" s="370"/>
      <c r="BA18" s="370"/>
      <c r="BB18" s="371"/>
      <c r="BC18" s="371"/>
      <c r="BD18" s="370"/>
      <c r="BE18" s="370"/>
      <c r="BF18" s="371"/>
      <c r="BG18" s="371"/>
      <c r="BH18" s="370"/>
      <c r="BI18" s="370"/>
      <c r="BJ18" s="371"/>
      <c r="BK18" s="371"/>
      <c r="BL18" s="370"/>
      <c r="BM18" s="370"/>
      <c r="BN18" s="371"/>
      <c r="BO18" s="371"/>
      <c r="BP18" s="370"/>
      <c r="BQ18" s="370"/>
      <c r="BR18" s="371"/>
      <c r="BS18" s="371"/>
      <c r="BT18" s="370"/>
      <c r="BU18" s="370"/>
      <c r="BV18" s="371"/>
      <c r="BW18" s="371"/>
      <c r="BX18" s="370"/>
      <c r="BY18" s="370"/>
      <c r="BZ18" s="371"/>
      <c r="CA18" s="371"/>
      <c r="CB18" s="370"/>
      <c r="CC18" s="370"/>
      <c r="CD18" s="371"/>
      <c r="CE18" s="371"/>
      <c r="CF18" s="370"/>
      <c r="CG18" s="370"/>
      <c r="CH18" s="371"/>
      <c r="CI18" s="371"/>
      <c r="CJ18" s="370"/>
      <c r="CK18" s="370"/>
      <c r="CL18" s="371"/>
      <c r="CM18" s="371"/>
      <c r="CN18" s="370"/>
      <c r="CO18" s="370"/>
      <c r="CP18" s="371"/>
      <c r="CQ18" s="371"/>
      <c r="CR18" s="370"/>
      <c r="CS18" s="370"/>
      <c r="CT18" s="371"/>
      <c r="CU18" s="371"/>
      <c r="CV18" s="370"/>
      <c r="CW18" s="370"/>
      <c r="CX18" s="371"/>
      <c r="CY18" s="371"/>
      <c r="CZ18" s="370"/>
      <c r="DA18" s="370"/>
      <c r="DB18" s="371"/>
      <c r="DC18" s="371"/>
      <c r="DD18" s="370"/>
      <c r="DE18" s="370"/>
      <c r="DF18" s="371"/>
      <c r="DG18" s="371"/>
      <c r="DH18" s="370"/>
      <c r="DI18" s="370"/>
      <c r="DJ18" s="371"/>
      <c r="DK18" s="371"/>
      <c r="DL18" s="370"/>
      <c r="DM18" s="370"/>
      <c r="DN18" s="371"/>
      <c r="DO18" s="371"/>
      <c r="DP18" s="370"/>
      <c r="DQ18" s="370"/>
      <c r="DR18" s="371"/>
      <c r="DS18" s="371"/>
      <c r="DT18" s="370"/>
      <c r="DU18" s="370"/>
      <c r="DV18" s="371"/>
      <c r="DW18" s="371"/>
      <c r="DX18" s="370"/>
      <c r="DY18" s="370"/>
      <c r="DZ18" s="371"/>
      <c r="EA18" s="371"/>
      <c r="EB18" s="370"/>
      <c r="EC18" s="370"/>
      <c r="ED18" s="371"/>
      <c r="EE18" s="371"/>
      <c r="EF18" s="370"/>
      <c r="EG18" s="370"/>
      <c r="EH18" s="371"/>
      <c r="EI18" s="371"/>
      <c r="EJ18" s="370"/>
      <c r="EK18" s="370"/>
      <c r="EL18" s="371"/>
      <c r="EM18" s="371"/>
      <c r="EN18" s="370"/>
      <c r="EO18" s="370"/>
      <c r="EP18" s="371"/>
      <c r="EQ18" s="371"/>
      <c r="ER18" s="370"/>
      <c r="ES18" s="370"/>
      <c r="ET18" s="371"/>
      <c r="EU18" s="371"/>
      <c r="EV18" s="370"/>
      <c r="EW18" s="370"/>
      <c r="EX18" s="371"/>
      <c r="EY18" s="371"/>
      <c r="EZ18" s="370"/>
      <c r="FA18" s="370"/>
      <c r="FB18" s="371"/>
      <c r="FC18" s="371"/>
      <c r="FD18" s="370"/>
      <c r="FE18" s="370"/>
      <c r="FF18" s="371"/>
      <c r="FG18" s="371"/>
      <c r="FH18" s="370"/>
      <c r="FI18" s="370"/>
      <c r="FJ18" s="371"/>
      <c r="FK18" s="371"/>
      <c r="FL18" s="370"/>
      <c r="FM18" s="370"/>
      <c r="FN18" s="371"/>
      <c r="FO18" s="371"/>
      <c r="FP18" s="370"/>
      <c r="FQ18" s="370"/>
      <c r="FR18" s="371"/>
      <c r="FS18" s="371"/>
      <c r="FT18" s="370"/>
      <c r="FU18" s="370"/>
      <c r="FV18" s="371"/>
      <c r="FW18" s="371"/>
      <c r="FX18" s="370"/>
      <c r="FY18" s="370"/>
      <c r="FZ18" s="371"/>
      <c r="GA18" s="371"/>
      <c r="GB18" s="370"/>
      <c r="GC18" s="370"/>
      <c r="GD18" s="371"/>
      <c r="GE18" s="371"/>
      <c r="GF18" s="370"/>
      <c r="GG18" s="370"/>
      <c r="GH18" s="371"/>
      <c r="GI18" s="371"/>
      <c r="GJ18" s="370"/>
      <c r="GK18" s="370"/>
      <c r="GL18" s="371"/>
      <c r="GM18" s="371"/>
      <c r="GN18" s="370"/>
      <c r="GO18" s="370"/>
      <c r="GP18" s="371"/>
      <c r="GQ18" s="371"/>
      <c r="GR18" s="370"/>
      <c r="GS18" s="370"/>
    </row>
    <row r="19">
      <c r="A19" s="380" t="s">
        <v>232</v>
      </c>
      <c r="B19" s="371"/>
      <c r="C19" s="371"/>
      <c r="D19" s="370"/>
      <c r="E19" s="370"/>
      <c r="F19" s="371"/>
      <c r="G19" s="371"/>
      <c r="H19" s="370"/>
      <c r="I19" s="370"/>
      <c r="J19" s="371"/>
      <c r="K19" s="371"/>
      <c r="L19" s="370"/>
      <c r="M19" s="370"/>
      <c r="N19" s="371"/>
      <c r="O19" s="371"/>
      <c r="P19" s="370"/>
      <c r="Q19" s="370"/>
      <c r="R19" s="371"/>
      <c r="S19" s="371"/>
      <c r="T19" s="370"/>
      <c r="U19" s="370"/>
      <c r="V19" s="371"/>
      <c r="W19" s="371"/>
      <c r="X19" s="370"/>
      <c r="Y19" s="370"/>
      <c r="Z19" s="371"/>
      <c r="AA19" s="371"/>
      <c r="AB19" s="370"/>
      <c r="AC19" s="370"/>
      <c r="AD19" s="371"/>
      <c r="AE19" s="371"/>
      <c r="AF19" s="370"/>
      <c r="AG19" s="370"/>
      <c r="AH19" s="371"/>
      <c r="AI19" s="371"/>
      <c r="AJ19" s="370"/>
      <c r="AK19" s="370"/>
      <c r="AL19" s="371"/>
      <c r="AM19" s="371"/>
      <c r="AN19" s="370"/>
      <c r="AO19" s="370"/>
      <c r="AP19" s="371"/>
      <c r="AQ19" s="371"/>
      <c r="AR19" s="370"/>
      <c r="AS19" s="370"/>
      <c r="AT19" s="371"/>
      <c r="AU19" s="371"/>
      <c r="AV19" s="370"/>
      <c r="AW19" s="370"/>
      <c r="AX19" s="371"/>
      <c r="AY19" s="371"/>
      <c r="AZ19" s="370"/>
      <c r="BA19" s="370"/>
      <c r="BB19" s="371"/>
      <c r="BC19" s="371"/>
      <c r="BD19" s="370"/>
      <c r="BE19" s="370"/>
      <c r="BF19" s="371"/>
      <c r="BG19" s="371"/>
      <c r="BH19" s="370"/>
      <c r="BI19" s="370"/>
      <c r="BJ19" s="371"/>
      <c r="BK19" s="371"/>
      <c r="BL19" s="370"/>
      <c r="BM19" s="370"/>
      <c r="BN19" s="371"/>
      <c r="BO19" s="371"/>
      <c r="BP19" s="370"/>
      <c r="BQ19" s="370"/>
      <c r="BR19" s="371"/>
      <c r="BS19" s="371"/>
      <c r="BT19" s="370"/>
      <c r="BU19" s="370"/>
      <c r="BV19" s="371"/>
      <c r="BW19" s="371"/>
      <c r="BX19" s="370"/>
      <c r="BY19" s="370"/>
      <c r="BZ19" s="371"/>
      <c r="CA19" s="371"/>
      <c r="CB19" s="370"/>
      <c r="CC19" s="370"/>
      <c r="CD19" s="371"/>
      <c r="CE19" s="371"/>
      <c r="CF19" s="370"/>
      <c r="CG19" s="370"/>
      <c r="CH19" s="371"/>
      <c r="CI19" s="371"/>
      <c r="CJ19" s="370"/>
      <c r="CK19" s="370"/>
      <c r="CL19" s="371"/>
      <c r="CM19" s="371"/>
      <c r="CN19" s="370"/>
      <c r="CO19" s="370"/>
      <c r="CP19" s="371"/>
      <c r="CQ19" s="371"/>
      <c r="CR19" s="370"/>
      <c r="CS19" s="370"/>
      <c r="CT19" s="371"/>
      <c r="CU19" s="371"/>
      <c r="CV19" s="370"/>
      <c r="CW19" s="370"/>
      <c r="CX19" s="371"/>
      <c r="CY19" s="371"/>
      <c r="CZ19" s="370"/>
      <c r="DA19" s="370"/>
      <c r="DB19" s="371"/>
      <c r="DC19" s="371"/>
      <c r="DD19" s="370"/>
      <c r="DE19" s="370"/>
      <c r="DF19" s="371"/>
      <c r="DG19" s="371"/>
      <c r="DH19" s="370"/>
      <c r="DI19" s="370"/>
      <c r="DJ19" s="371"/>
      <c r="DK19" s="371"/>
      <c r="DL19" s="370"/>
      <c r="DM19" s="370"/>
      <c r="DN19" s="371"/>
      <c r="DO19" s="371"/>
      <c r="DP19" s="370"/>
      <c r="DQ19" s="370"/>
      <c r="DR19" s="371"/>
      <c r="DS19" s="371"/>
      <c r="DT19" s="370"/>
      <c r="DU19" s="370"/>
      <c r="DV19" s="371"/>
      <c r="DW19" s="371"/>
      <c r="DX19" s="370"/>
      <c r="DY19" s="370"/>
      <c r="DZ19" s="371"/>
      <c r="EA19" s="371"/>
      <c r="EB19" s="370"/>
      <c r="EC19" s="370"/>
      <c r="ED19" s="371"/>
      <c r="EE19" s="371"/>
      <c r="EF19" s="370"/>
      <c r="EG19" s="370"/>
      <c r="EH19" s="371"/>
      <c r="EI19" s="371"/>
      <c r="EJ19" s="370"/>
      <c r="EK19" s="370"/>
      <c r="EL19" s="371"/>
      <c r="EM19" s="371"/>
      <c r="EN19" s="370"/>
      <c r="EO19" s="370"/>
      <c r="EP19" s="371"/>
      <c r="EQ19" s="371"/>
      <c r="ER19" s="370"/>
      <c r="ES19" s="370"/>
      <c r="ET19" s="371"/>
      <c r="EU19" s="371"/>
      <c r="EV19" s="370"/>
      <c r="EW19" s="370"/>
      <c r="EX19" s="371"/>
      <c r="EY19" s="371"/>
      <c r="EZ19" s="370"/>
      <c r="FA19" s="370"/>
      <c r="FB19" s="371"/>
      <c r="FC19" s="371"/>
      <c r="FD19" s="370"/>
      <c r="FE19" s="370"/>
      <c r="FF19" s="371"/>
      <c r="FG19" s="371"/>
      <c r="FH19" s="370"/>
      <c r="FI19" s="370"/>
      <c r="FJ19" s="371"/>
      <c r="FK19" s="371"/>
      <c r="FL19" s="370"/>
      <c r="FM19" s="370"/>
      <c r="FN19" s="371"/>
      <c r="FO19" s="371"/>
      <c r="FP19" s="370"/>
      <c r="FQ19" s="370"/>
      <c r="FR19" s="371"/>
      <c r="FS19" s="371"/>
      <c r="FT19" s="370"/>
      <c r="FU19" s="370"/>
      <c r="FV19" s="371"/>
      <c r="FW19" s="371"/>
      <c r="FX19" s="370"/>
      <c r="FY19" s="370"/>
      <c r="FZ19" s="371"/>
      <c r="GA19" s="371"/>
      <c r="GB19" s="370"/>
      <c r="GC19" s="370"/>
      <c r="GD19" s="371"/>
      <c r="GE19" s="371"/>
      <c r="GF19" s="370"/>
      <c r="GG19" s="370"/>
      <c r="GH19" s="371"/>
      <c r="GI19" s="371"/>
      <c r="GJ19" s="370"/>
      <c r="GK19" s="370"/>
      <c r="GL19" s="371"/>
      <c r="GM19" s="371"/>
      <c r="GN19" s="370"/>
      <c r="GO19" s="370"/>
      <c r="GP19" s="371"/>
      <c r="GQ19" s="371"/>
      <c r="GR19" s="370"/>
      <c r="GS19" s="370"/>
    </row>
    <row r="20">
      <c r="A20" s="380" t="s">
        <v>233</v>
      </c>
      <c r="B20" s="371"/>
      <c r="C20" s="371"/>
      <c r="D20" s="370"/>
      <c r="E20" s="370"/>
      <c r="F20" s="371"/>
      <c r="G20" s="371"/>
      <c r="H20" s="370"/>
      <c r="I20" s="370"/>
      <c r="J20" s="371"/>
      <c r="K20" s="371"/>
      <c r="L20" s="370"/>
      <c r="M20" s="370"/>
      <c r="N20" s="371"/>
      <c r="O20" s="371"/>
      <c r="P20" s="370"/>
      <c r="Q20" s="370"/>
      <c r="R20" s="371"/>
      <c r="S20" s="371"/>
      <c r="T20" s="370"/>
      <c r="U20" s="370"/>
      <c r="V20" s="371"/>
      <c r="W20" s="371"/>
      <c r="X20" s="370"/>
      <c r="Y20" s="370"/>
      <c r="Z20" s="371"/>
      <c r="AA20" s="371"/>
      <c r="AB20" s="370"/>
      <c r="AC20" s="370"/>
      <c r="AD20" s="371"/>
      <c r="AE20" s="371"/>
      <c r="AF20" s="370"/>
      <c r="AG20" s="370"/>
      <c r="AH20" s="371"/>
      <c r="AI20" s="371"/>
      <c r="AJ20" s="370"/>
      <c r="AK20" s="370"/>
      <c r="AL20" s="371"/>
      <c r="AM20" s="371"/>
      <c r="AN20" s="370"/>
      <c r="AO20" s="370"/>
      <c r="AP20" s="371"/>
      <c r="AQ20" s="371"/>
      <c r="AR20" s="370"/>
      <c r="AS20" s="370"/>
      <c r="AT20" s="371"/>
      <c r="AU20" s="371"/>
      <c r="AV20" s="370"/>
      <c r="AW20" s="370"/>
      <c r="AX20" s="371"/>
      <c r="AY20" s="371"/>
      <c r="AZ20" s="370"/>
      <c r="BA20" s="370"/>
      <c r="BB20" s="371"/>
      <c r="BC20" s="371"/>
      <c r="BD20" s="370"/>
      <c r="BE20" s="370"/>
      <c r="BF20" s="371"/>
      <c r="BG20" s="371"/>
      <c r="BH20" s="370"/>
      <c r="BI20" s="370"/>
      <c r="BJ20" s="371"/>
      <c r="BK20" s="371"/>
      <c r="BL20" s="370"/>
      <c r="BM20" s="370"/>
      <c r="BN20" s="371"/>
      <c r="BO20" s="371"/>
      <c r="BP20" s="370"/>
      <c r="BQ20" s="370"/>
      <c r="BR20" s="371"/>
      <c r="BS20" s="371"/>
      <c r="BT20" s="370"/>
      <c r="BU20" s="370"/>
      <c r="BV20" s="371"/>
      <c r="BW20" s="371"/>
      <c r="BX20" s="370"/>
      <c r="BY20" s="370"/>
      <c r="BZ20" s="371"/>
      <c r="CA20" s="371"/>
      <c r="CB20" s="370"/>
      <c r="CC20" s="370"/>
      <c r="CD20" s="371"/>
      <c r="CE20" s="371"/>
      <c r="CF20" s="370"/>
      <c r="CG20" s="370"/>
      <c r="CH20" s="371"/>
      <c r="CI20" s="371"/>
      <c r="CJ20" s="370"/>
      <c r="CK20" s="370"/>
      <c r="CL20" s="371"/>
      <c r="CM20" s="371"/>
      <c r="CN20" s="370"/>
      <c r="CO20" s="370"/>
      <c r="CP20" s="371"/>
      <c r="CQ20" s="371"/>
      <c r="CR20" s="370"/>
      <c r="CS20" s="370"/>
      <c r="CT20" s="371"/>
      <c r="CU20" s="371"/>
      <c r="CV20" s="370"/>
      <c r="CW20" s="370"/>
      <c r="CX20" s="371"/>
      <c r="CY20" s="371"/>
      <c r="CZ20" s="370"/>
      <c r="DA20" s="370"/>
      <c r="DB20" s="371"/>
      <c r="DC20" s="371"/>
      <c r="DD20" s="370"/>
      <c r="DE20" s="370"/>
      <c r="DF20" s="371"/>
      <c r="DG20" s="371"/>
      <c r="DH20" s="370"/>
      <c r="DI20" s="370"/>
      <c r="DJ20" s="371"/>
      <c r="DK20" s="371"/>
      <c r="DL20" s="370"/>
      <c r="DM20" s="370"/>
      <c r="DN20" s="371"/>
      <c r="DO20" s="371"/>
      <c r="DP20" s="370"/>
      <c r="DQ20" s="370"/>
      <c r="DR20" s="371"/>
      <c r="DS20" s="371"/>
      <c r="DT20" s="370"/>
      <c r="DU20" s="370"/>
      <c r="DV20" s="371"/>
      <c r="DW20" s="371"/>
      <c r="DX20" s="370"/>
      <c r="DY20" s="370"/>
      <c r="DZ20" s="371"/>
      <c r="EA20" s="371"/>
      <c r="EB20" s="370"/>
      <c r="EC20" s="370"/>
      <c r="ED20" s="371"/>
      <c r="EE20" s="371"/>
      <c r="EF20" s="370"/>
      <c r="EG20" s="370"/>
      <c r="EH20" s="371"/>
      <c r="EI20" s="371"/>
      <c r="EJ20" s="370"/>
      <c r="EK20" s="370"/>
      <c r="EL20" s="371"/>
      <c r="EM20" s="371"/>
      <c r="EN20" s="370"/>
      <c r="EO20" s="370"/>
      <c r="EP20" s="371"/>
      <c r="EQ20" s="371"/>
      <c r="ER20" s="370"/>
      <c r="ES20" s="370"/>
      <c r="ET20" s="371"/>
      <c r="EU20" s="371"/>
      <c r="EV20" s="370"/>
      <c r="EW20" s="370"/>
      <c r="EX20" s="371"/>
      <c r="EY20" s="371"/>
      <c r="EZ20" s="370"/>
      <c r="FA20" s="370"/>
      <c r="FB20" s="371"/>
      <c r="FC20" s="371"/>
      <c r="FD20" s="370"/>
      <c r="FE20" s="370"/>
      <c r="FF20" s="371"/>
      <c r="FG20" s="371"/>
      <c r="FH20" s="370"/>
      <c r="FI20" s="370"/>
      <c r="FJ20" s="371"/>
      <c r="FK20" s="371"/>
      <c r="FL20" s="370"/>
      <c r="FM20" s="370"/>
      <c r="FN20" s="371"/>
      <c r="FO20" s="371"/>
      <c r="FP20" s="370"/>
      <c r="FQ20" s="370"/>
      <c r="FR20" s="371"/>
      <c r="FS20" s="371"/>
      <c r="FT20" s="370"/>
      <c r="FU20" s="370"/>
      <c r="FV20" s="371"/>
      <c r="FW20" s="371"/>
      <c r="FX20" s="370"/>
      <c r="FY20" s="370"/>
      <c r="FZ20" s="371"/>
      <c r="GA20" s="371"/>
      <c r="GB20" s="370"/>
      <c r="GC20" s="370"/>
      <c r="GD20" s="371"/>
      <c r="GE20" s="371"/>
      <c r="GF20" s="370"/>
      <c r="GG20" s="370"/>
      <c r="GH20" s="371"/>
      <c r="GI20" s="371"/>
      <c r="GJ20" s="370"/>
      <c r="GK20" s="370"/>
      <c r="GL20" s="371"/>
      <c r="GM20" s="371"/>
      <c r="GN20" s="370"/>
      <c r="GO20" s="370"/>
      <c r="GP20" s="371"/>
      <c r="GQ20" s="371"/>
      <c r="GR20" s="370"/>
      <c r="GS20" s="370"/>
    </row>
    <row r="21">
      <c r="A21" s="367" t="s">
        <v>234</v>
      </c>
      <c r="B21" s="371"/>
      <c r="C21" s="371"/>
      <c r="D21" s="370"/>
      <c r="E21" s="370"/>
      <c r="F21" s="371"/>
      <c r="G21" s="371"/>
      <c r="H21" s="370"/>
      <c r="I21" s="370"/>
      <c r="J21" s="371"/>
      <c r="K21" s="371"/>
      <c r="L21" s="370"/>
      <c r="M21" s="370"/>
      <c r="N21" s="371"/>
      <c r="O21" s="371"/>
      <c r="P21" s="370"/>
      <c r="Q21" s="370"/>
      <c r="R21" s="371"/>
      <c r="S21" s="371"/>
      <c r="T21" s="370"/>
      <c r="U21" s="370"/>
      <c r="V21" s="371"/>
      <c r="W21" s="371"/>
      <c r="X21" s="370"/>
      <c r="Y21" s="370"/>
      <c r="Z21" s="371"/>
      <c r="AA21" s="371"/>
      <c r="AB21" s="370"/>
      <c r="AC21" s="370"/>
      <c r="AD21" s="371"/>
      <c r="AE21" s="371"/>
      <c r="AF21" s="370"/>
      <c r="AG21" s="370"/>
      <c r="AH21" s="371"/>
      <c r="AI21" s="371"/>
      <c r="AJ21" s="370"/>
      <c r="AK21" s="370"/>
      <c r="AL21" s="371"/>
      <c r="AM21" s="371"/>
      <c r="AN21" s="370"/>
      <c r="AO21" s="370"/>
      <c r="AP21" s="371"/>
      <c r="AQ21" s="371"/>
      <c r="AR21" s="370"/>
      <c r="AS21" s="370"/>
      <c r="AT21" s="371"/>
      <c r="AU21" s="371"/>
      <c r="AV21" s="370"/>
      <c r="AW21" s="370"/>
      <c r="AX21" s="371"/>
      <c r="AY21" s="371"/>
      <c r="AZ21" s="370"/>
      <c r="BA21" s="370"/>
      <c r="BB21" s="371"/>
      <c r="BC21" s="371"/>
      <c r="BD21" s="370"/>
      <c r="BE21" s="370"/>
      <c r="BF21" s="371"/>
      <c r="BG21" s="371"/>
      <c r="BH21" s="370"/>
      <c r="BI21" s="370"/>
      <c r="BJ21" s="371"/>
      <c r="BK21" s="371"/>
      <c r="BL21" s="370"/>
      <c r="BM21" s="370"/>
      <c r="BN21" s="371"/>
      <c r="BO21" s="371"/>
      <c r="BP21" s="370"/>
      <c r="BQ21" s="370"/>
      <c r="BR21" s="371"/>
      <c r="BS21" s="371"/>
      <c r="BT21" s="370"/>
      <c r="BU21" s="370"/>
      <c r="BV21" s="371"/>
      <c r="BW21" s="371"/>
      <c r="BX21" s="370"/>
      <c r="BY21" s="370"/>
      <c r="BZ21" s="371"/>
      <c r="CA21" s="371"/>
      <c r="CB21" s="370"/>
      <c r="CC21" s="370"/>
      <c r="CD21" s="371"/>
      <c r="CE21" s="371"/>
      <c r="CF21" s="370"/>
      <c r="CG21" s="370"/>
      <c r="CH21" s="371"/>
      <c r="CI21" s="371"/>
      <c r="CJ21" s="370"/>
      <c r="CK21" s="370"/>
      <c r="CL21" s="371"/>
      <c r="CM21" s="371"/>
      <c r="CN21" s="370"/>
      <c r="CO21" s="370"/>
      <c r="CP21" s="371"/>
      <c r="CQ21" s="371"/>
      <c r="CR21" s="370"/>
      <c r="CS21" s="370"/>
      <c r="CT21" s="371"/>
      <c r="CU21" s="371"/>
      <c r="CV21" s="370"/>
      <c r="CW21" s="370"/>
      <c r="CX21" s="371"/>
      <c r="CY21" s="371"/>
      <c r="CZ21" s="370"/>
      <c r="DA21" s="370"/>
      <c r="DB21" s="371"/>
      <c r="DC21" s="371"/>
      <c r="DD21" s="370"/>
      <c r="DE21" s="370"/>
      <c r="DF21" s="371"/>
      <c r="DG21" s="371"/>
      <c r="DH21" s="370"/>
      <c r="DI21" s="370"/>
      <c r="DJ21" s="371"/>
      <c r="DK21" s="371"/>
      <c r="DL21" s="370"/>
      <c r="DM21" s="370"/>
      <c r="DN21" s="371"/>
      <c r="DO21" s="371"/>
      <c r="DP21" s="370"/>
      <c r="DQ21" s="370"/>
      <c r="DR21" s="371"/>
      <c r="DS21" s="371"/>
      <c r="DT21" s="370"/>
      <c r="DU21" s="370"/>
      <c r="DV21" s="371"/>
      <c r="DW21" s="371"/>
      <c r="DX21" s="370"/>
      <c r="DY21" s="370"/>
      <c r="DZ21" s="371"/>
      <c r="EA21" s="371"/>
      <c r="EB21" s="370"/>
      <c r="EC21" s="370"/>
      <c r="ED21" s="371"/>
      <c r="EE21" s="371"/>
      <c r="EF21" s="370"/>
      <c r="EG21" s="370"/>
      <c r="EH21" s="371"/>
      <c r="EI21" s="371"/>
      <c r="EJ21" s="370"/>
      <c r="EK21" s="370"/>
      <c r="EL21" s="371"/>
      <c r="EM21" s="371"/>
      <c r="EN21" s="370"/>
      <c r="EO21" s="370"/>
      <c r="EP21" s="371"/>
      <c r="EQ21" s="371"/>
      <c r="ER21" s="370"/>
      <c r="ES21" s="370"/>
      <c r="ET21" s="371"/>
      <c r="EU21" s="371"/>
      <c r="EV21" s="370"/>
      <c r="EW21" s="370"/>
      <c r="EX21" s="371"/>
      <c r="EY21" s="371"/>
      <c r="EZ21" s="370"/>
      <c r="FA21" s="370"/>
      <c r="FB21" s="371"/>
      <c r="FC21" s="371"/>
      <c r="FD21" s="370"/>
      <c r="FE21" s="370"/>
      <c r="FF21" s="371"/>
      <c r="FG21" s="371"/>
      <c r="FH21" s="370"/>
      <c r="FI21" s="370"/>
      <c r="FJ21" s="371"/>
      <c r="FK21" s="371"/>
      <c r="FL21" s="370"/>
      <c r="FM21" s="370"/>
      <c r="FN21" s="371"/>
      <c r="FO21" s="371"/>
      <c r="FP21" s="370"/>
      <c r="FQ21" s="370"/>
      <c r="FR21" s="371"/>
      <c r="FS21" s="371"/>
      <c r="FT21" s="370"/>
      <c r="FU21" s="370"/>
      <c r="FV21" s="371"/>
      <c r="FW21" s="371"/>
      <c r="FX21" s="370"/>
      <c r="FY21" s="370"/>
      <c r="FZ21" s="371"/>
      <c r="GA21" s="371"/>
      <c r="GB21" s="370"/>
      <c r="GC21" s="370"/>
      <c r="GD21" s="371"/>
      <c r="GE21" s="371"/>
      <c r="GF21" s="370"/>
      <c r="GG21" s="370"/>
      <c r="GH21" s="371"/>
      <c r="GI21" s="371"/>
      <c r="GJ21" s="370"/>
      <c r="GK21" s="370"/>
      <c r="GL21" s="371"/>
      <c r="GM21" s="371"/>
      <c r="GN21" s="370"/>
      <c r="GO21" s="370"/>
      <c r="GP21" s="371"/>
      <c r="GQ21" s="371"/>
      <c r="GR21" s="370"/>
      <c r="GS21" s="370"/>
    </row>
    <row r="22">
      <c r="A22" s="375"/>
      <c r="B22" s="376"/>
      <c r="C22" s="376"/>
      <c r="D22" s="376"/>
      <c r="E22" s="376"/>
      <c r="F22" s="376"/>
      <c r="G22" s="376"/>
      <c r="H22" s="376"/>
      <c r="I22" s="376"/>
      <c r="J22" s="376"/>
      <c r="K22" s="376"/>
      <c r="L22" s="376"/>
      <c r="M22" s="376"/>
      <c r="N22" s="376"/>
      <c r="O22" s="376"/>
      <c r="P22" s="376"/>
      <c r="Q22" s="376"/>
      <c r="R22" s="376"/>
      <c r="S22" s="376"/>
      <c r="T22" s="376"/>
      <c r="U22" s="376"/>
      <c r="V22" s="376"/>
      <c r="W22" s="376"/>
      <c r="X22" s="376"/>
      <c r="Y22" s="376"/>
      <c r="Z22" s="376"/>
      <c r="AA22" s="376"/>
      <c r="AB22" s="376"/>
      <c r="AC22" s="376"/>
      <c r="AD22" s="376"/>
      <c r="AE22" s="376"/>
      <c r="AF22" s="376"/>
      <c r="AG22" s="376"/>
      <c r="AH22" s="376"/>
      <c r="AI22" s="376"/>
      <c r="AJ22" s="376"/>
      <c r="AK22" s="376"/>
      <c r="AL22" s="376"/>
      <c r="AM22" s="376"/>
      <c r="AN22" s="376"/>
      <c r="AO22" s="376"/>
      <c r="AP22" s="376"/>
      <c r="AQ22" s="376"/>
      <c r="AR22" s="376"/>
      <c r="AS22" s="376"/>
      <c r="AT22" s="376"/>
      <c r="AU22" s="376"/>
      <c r="AV22" s="376"/>
      <c r="AW22" s="376"/>
      <c r="AX22" s="376"/>
      <c r="AY22" s="376"/>
      <c r="AZ22" s="376"/>
      <c r="BA22" s="376"/>
      <c r="BB22" s="376"/>
      <c r="BC22" s="376"/>
      <c r="BD22" s="376"/>
      <c r="BE22" s="376"/>
      <c r="BF22" s="376"/>
      <c r="BG22" s="376"/>
      <c r="BH22" s="376"/>
      <c r="BI22" s="376"/>
      <c r="BJ22" s="376"/>
      <c r="BK22" s="376"/>
      <c r="BL22" s="376"/>
      <c r="BM22" s="376"/>
      <c r="BN22" s="376"/>
      <c r="BO22" s="376"/>
      <c r="BP22" s="376"/>
      <c r="BQ22" s="376"/>
      <c r="BR22" s="376"/>
      <c r="BS22" s="376"/>
      <c r="BT22" s="376"/>
      <c r="BU22" s="376"/>
      <c r="BV22" s="376"/>
      <c r="BW22" s="376"/>
      <c r="BX22" s="376"/>
      <c r="BY22" s="376"/>
      <c r="BZ22" s="376"/>
      <c r="CA22" s="376"/>
      <c r="CB22" s="376"/>
      <c r="CC22" s="376"/>
      <c r="CD22" s="376"/>
      <c r="CE22" s="376"/>
      <c r="CF22" s="376"/>
      <c r="CG22" s="376"/>
      <c r="CH22" s="376"/>
      <c r="CI22" s="376"/>
      <c r="CJ22" s="376"/>
      <c r="CK22" s="376"/>
      <c r="CL22" s="376"/>
      <c r="CM22" s="376"/>
      <c r="CN22" s="376"/>
      <c r="CO22" s="376"/>
      <c r="CP22" s="376"/>
      <c r="CQ22" s="376"/>
      <c r="CR22" s="376"/>
      <c r="CS22" s="376"/>
      <c r="CT22" s="376"/>
      <c r="CU22" s="376"/>
      <c r="CV22" s="376"/>
      <c r="CW22" s="376"/>
      <c r="CX22" s="376"/>
      <c r="CY22" s="376"/>
      <c r="CZ22" s="376"/>
      <c r="DA22" s="376"/>
      <c r="DB22" s="376"/>
      <c r="DC22" s="376"/>
      <c r="DD22" s="376"/>
      <c r="DE22" s="376"/>
      <c r="DF22" s="376"/>
      <c r="DG22" s="376"/>
      <c r="DH22" s="376"/>
      <c r="DI22" s="376"/>
      <c r="DJ22" s="376"/>
      <c r="DK22" s="376"/>
      <c r="DL22" s="376"/>
      <c r="DM22" s="376"/>
      <c r="DN22" s="376"/>
      <c r="DO22" s="376"/>
      <c r="DP22" s="376"/>
      <c r="DQ22" s="376"/>
      <c r="DR22" s="376"/>
      <c r="DS22" s="376"/>
      <c r="DT22" s="376"/>
      <c r="DU22" s="376"/>
      <c r="DV22" s="376"/>
      <c r="DW22" s="376"/>
      <c r="DX22" s="376"/>
      <c r="DY22" s="376"/>
      <c r="DZ22" s="376"/>
      <c r="EA22" s="376"/>
      <c r="EB22" s="376"/>
      <c r="EC22" s="376"/>
      <c r="ED22" s="376"/>
      <c r="EE22" s="376"/>
      <c r="EF22" s="376"/>
      <c r="EG22" s="376"/>
      <c r="EH22" s="376"/>
      <c r="EI22" s="376"/>
      <c r="EJ22" s="376"/>
      <c r="EK22" s="376"/>
      <c r="EL22" s="376"/>
      <c r="EM22" s="376"/>
      <c r="EN22" s="376"/>
      <c r="EO22" s="376"/>
      <c r="EP22" s="376"/>
      <c r="EQ22" s="376"/>
      <c r="ER22" s="376"/>
      <c r="ES22" s="376"/>
      <c r="ET22" s="376"/>
      <c r="EU22" s="376"/>
      <c r="EV22" s="376"/>
      <c r="EW22" s="376"/>
      <c r="EX22" s="376"/>
      <c r="EY22" s="376"/>
      <c r="EZ22" s="376"/>
      <c r="FA22" s="376"/>
      <c r="FB22" s="376"/>
      <c r="FC22" s="376"/>
      <c r="FD22" s="376"/>
      <c r="FE22" s="376"/>
      <c r="FF22" s="376"/>
      <c r="FG22" s="376"/>
      <c r="FH22" s="376"/>
      <c r="FI22" s="376"/>
      <c r="FJ22" s="376"/>
      <c r="FK22" s="376"/>
      <c r="FL22" s="376"/>
      <c r="FM22" s="376"/>
      <c r="FN22" s="376"/>
      <c r="FO22" s="376"/>
      <c r="FP22" s="376"/>
      <c r="FQ22" s="376"/>
      <c r="FR22" s="376"/>
      <c r="FS22" s="376"/>
      <c r="FT22" s="376"/>
      <c r="FU22" s="376"/>
      <c r="FV22" s="376"/>
      <c r="FW22" s="376"/>
      <c r="FX22" s="376"/>
      <c r="FY22" s="376"/>
      <c r="FZ22" s="376"/>
      <c r="GA22" s="376"/>
      <c r="GB22" s="376"/>
      <c r="GC22" s="376"/>
      <c r="GD22" s="376"/>
      <c r="GE22" s="376"/>
      <c r="GF22" s="376"/>
      <c r="GG22" s="376"/>
      <c r="GH22" s="376"/>
      <c r="GI22" s="376"/>
      <c r="GJ22" s="376"/>
      <c r="GK22" s="376"/>
      <c r="GL22" s="376"/>
      <c r="GM22" s="376"/>
      <c r="GN22" s="376"/>
      <c r="GO22" s="376"/>
      <c r="GP22" s="376"/>
      <c r="GQ22" s="376"/>
      <c r="GR22" s="376"/>
      <c r="GS22" s="376"/>
    </row>
  </sheetData>
  <mergeCells count="101">
    <mergeCell ref="CT1:CU1"/>
    <mergeCell ref="CV1:CW1"/>
    <mergeCell ref="CX1:CY1"/>
    <mergeCell ref="CZ1:DA1"/>
    <mergeCell ref="DB1:DC1"/>
    <mergeCell ref="DD1:DE1"/>
    <mergeCell ref="DF1:DG1"/>
    <mergeCell ref="DH1:DI1"/>
    <mergeCell ref="DJ1:DK1"/>
    <mergeCell ref="DL1:DM1"/>
    <mergeCell ref="DN1:DO1"/>
    <mergeCell ref="DP1:DQ1"/>
    <mergeCell ref="DR1:DS1"/>
    <mergeCell ref="DT1:DU1"/>
    <mergeCell ref="DV1:DW1"/>
    <mergeCell ref="DX1:DY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FN1:FO1"/>
    <mergeCell ref="FP1:FQ1"/>
    <mergeCell ref="FR1:FS1"/>
    <mergeCell ref="FT1:FU1"/>
    <mergeCell ref="FV1:FW1"/>
    <mergeCell ref="FX1:FY1"/>
    <mergeCell ref="GN1:GO1"/>
    <mergeCell ref="GP1:GQ1"/>
    <mergeCell ref="GR1:GS1"/>
    <mergeCell ref="FZ1:GA1"/>
    <mergeCell ref="GB1:GC1"/>
    <mergeCell ref="GD1:GE1"/>
    <mergeCell ref="GF1:GG1"/>
    <mergeCell ref="GH1:GI1"/>
    <mergeCell ref="GJ1:GK1"/>
    <mergeCell ref="GL1:GM1"/>
    <mergeCell ref="A1:A2"/>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s>
  <conditionalFormatting sqref="B4:GS7">
    <cfRule type="expression" dxfId="20" priority="1">
      <formula>ifcolor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0.75"/>
    <col customWidth="1" min="2" max="201" width="3.88"/>
  </cols>
  <sheetData>
    <row r="1">
      <c r="A1" s="379" t="s">
        <v>235</v>
      </c>
      <c r="B1" s="381"/>
      <c r="D1" s="360"/>
      <c r="F1" s="359"/>
      <c r="H1" s="358"/>
      <c r="J1" s="359"/>
      <c r="L1" s="358"/>
      <c r="N1" s="359"/>
      <c r="P1" s="360"/>
      <c r="R1" s="361"/>
      <c r="T1" s="360"/>
      <c r="V1" s="359"/>
      <c r="X1" s="358"/>
      <c r="Z1" s="359"/>
      <c r="AB1" s="358"/>
      <c r="AD1" s="359"/>
      <c r="AF1" s="360"/>
      <c r="AH1" s="361"/>
      <c r="AJ1" s="360"/>
      <c r="AL1" s="359"/>
      <c r="AN1" s="358"/>
      <c r="AP1" s="359"/>
      <c r="AR1" s="358"/>
      <c r="AT1" s="359"/>
      <c r="AV1" s="360"/>
      <c r="AX1" s="361"/>
      <c r="AZ1" s="360"/>
      <c r="BB1" s="359"/>
      <c r="BD1" s="358"/>
      <c r="BF1" s="359"/>
      <c r="BH1" s="358"/>
      <c r="BJ1" s="359"/>
      <c r="BL1" s="360"/>
      <c r="BN1" s="361"/>
      <c r="BP1" s="360"/>
      <c r="BR1" s="359"/>
      <c r="BT1" s="358"/>
      <c r="BV1" s="359"/>
      <c r="BX1" s="358"/>
      <c r="BZ1" s="359"/>
      <c r="CB1" s="360"/>
      <c r="CD1" s="361"/>
      <c r="CF1" s="360"/>
      <c r="CH1" s="359"/>
      <c r="CJ1" s="358"/>
      <c r="CL1" s="359"/>
      <c r="CN1" s="358"/>
      <c r="CP1" s="359"/>
      <c r="CR1" s="360"/>
      <c r="CT1" s="361"/>
      <c r="CV1" s="360"/>
      <c r="CX1" s="359"/>
      <c r="CZ1" s="358"/>
      <c r="DB1" s="359"/>
      <c r="DD1" s="358"/>
      <c r="DF1" s="359"/>
      <c r="DH1" s="360"/>
      <c r="DJ1" s="361"/>
      <c r="DL1" s="360"/>
      <c r="DN1" s="359"/>
      <c r="DP1" s="358"/>
      <c r="DR1" s="359"/>
      <c r="DT1" s="358"/>
      <c r="DV1" s="359"/>
      <c r="DX1" s="360"/>
      <c r="DZ1" s="361"/>
      <c r="EB1" s="360"/>
      <c r="ED1" s="359"/>
      <c r="EF1" s="358"/>
      <c r="EH1" s="359"/>
      <c r="EJ1" s="358"/>
      <c r="EL1" s="359"/>
      <c r="EN1" s="358"/>
      <c r="EP1" s="359"/>
      <c r="ER1" s="358"/>
      <c r="ET1" s="359"/>
      <c r="EV1" s="358"/>
      <c r="EX1" s="359"/>
      <c r="EZ1" s="358"/>
      <c r="FB1" s="359"/>
      <c r="FD1" s="358"/>
      <c r="FF1" s="359"/>
      <c r="FH1" s="358"/>
      <c r="FJ1" s="359"/>
      <c r="FL1" s="358"/>
      <c r="FN1" s="359"/>
      <c r="FP1" s="358"/>
      <c r="FR1" s="359"/>
      <c r="FT1" s="358"/>
      <c r="FV1" s="359"/>
      <c r="FX1" s="358"/>
      <c r="FZ1" s="359"/>
      <c r="GB1" s="358"/>
      <c r="GD1" s="359"/>
      <c r="GF1" s="358"/>
      <c r="GH1" s="359"/>
      <c r="GJ1" s="358"/>
      <c r="GL1" s="359"/>
      <c r="GN1" s="358"/>
      <c r="GP1" s="359"/>
      <c r="GR1" s="358"/>
    </row>
    <row r="2">
      <c r="B2" s="364" t="s">
        <v>150</v>
      </c>
      <c r="C2" s="364" t="s">
        <v>151</v>
      </c>
      <c r="D2" s="355" t="s">
        <v>150</v>
      </c>
      <c r="E2" s="355" t="s">
        <v>151</v>
      </c>
      <c r="F2" s="364" t="s">
        <v>150</v>
      </c>
      <c r="G2" s="364" t="s">
        <v>151</v>
      </c>
      <c r="H2" s="355" t="s">
        <v>150</v>
      </c>
      <c r="I2" s="355" t="s">
        <v>151</v>
      </c>
      <c r="J2" s="364" t="s">
        <v>150</v>
      </c>
      <c r="K2" s="364" t="s">
        <v>151</v>
      </c>
      <c r="L2" s="355" t="s">
        <v>150</v>
      </c>
      <c r="M2" s="355" t="s">
        <v>151</v>
      </c>
      <c r="N2" s="364" t="s">
        <v>150</v>
      </c>
      <c r="O2" s="364" t="s">
        <v>151</v>
      </c>
      <c r="P2" s="355" t="s">
        <v>150</v>
      </c>
      <c r="Q2" s="355" t="s">
        <v>151</v>
      </c>
      <c r="R2" s="364" t="s">
        <v>150</v>
      </c>
      <c r="S2" s="364" t="s">
        <v>151</v>
      </c>
      <c r="T2" s="355" t="s">
        <v>150</v>
      </c>
      <c r="U2" s="355" t="s">
        <v>151</v>
      </c>
      <c r="V2" s="364" t="s">
        <v>150</v>
      </c>
      <c r="W2" s="364" t="s">
        <v>151</v>
      </c>
      <c r="X2" s="355" t="s">
        <v>150</v>
      </c>
      <c r="Y2" s="355" t="s">
        <v>151</v>
      </c>
      <c r="Z2" s="364" t="s">
        <v>150</v>
      </c>
      <c r="AA2" s="364" t="s">
        <v>151</v>
      </c>
      <c r="AB2" s="355" t="s">
        <v>150</v>
      </c>
      <c r="AC2" s="355" t="s">
        <v>151</v>
      </c>
      <c r="AD2" s="364" t="s">
        <v>150</v>
      </c>
      <c r="AE2" s="364" t="s">
        <v>151</v>
      </c>
      <c r="AF2" s="355" t="s">
        <v>150</v>
      </c>
      <c r="AG2" s="355" t="s">
        <v>151</v>
      </c>
      <c r="AH2" s="364" t="s">
        <v>150</v>
      </c>
      <c r="AI2" s="364" t="s">
        <v>151</v>
      </c>
      <c r="AJ2" s="355" t="s">
        <v>150</v>
      </c>
      <c r="AK2" s="355" t="s">
        <v>151</v>
      </c>
      <c r="AL2" s="364" t="s">
        <v>150</v>
      </c>
      <c r="AM2" s="364" t="s">
        <v>151</v>
      </c>
      <c r="AN2" s="355" t="s">
        <v>150</v>
      </c>
      <c r="AO2" s="355" t="s">
        <v>151</v>
      </c>
      <c r="AP2" s="364" t="s">
        <v>150</v>
      </c>
      <c r="AQ2" s="364" t="s">
        <v>151</v>
      </c>
      <c r="AR2" s="355" t="s">
        <v>150</v>
      </c>
      <c r="AS2" s="355" t="s">
        <v>151</v>
      </c>
      <c r="AT2" s="364" t="s">
        <v>150</v>
      </c>
      <c r="AU2" s="364" t="s">
        <v>151</v>
      </c>
      <c r="AV2" s="355" t="s">
        <v>150</v>
      </c>
      <c r="AW2" s="355" t="s">
        <v>151</v>
      </c>
      <c r="AX2" s="364" t="s">
        <v>150</v>
      </c>
      <c r="AY2" s="364" t="s">
        <v>151</v>
      </c>
      <c r="AZ2" s="355" t="s">
        <v>150</v>
      </c>
      <c r="BA2" s="355" t="s">
        <v>151</v>
      </c>
      <c r="BB2" s="364" t="s">
        <v>150</v>
      </c>
      <c r="BC2" s="364" t="s">
        <v>151</v>
      </c>
      <c r="BD2" s="355" t="s">
        <v>150</v>
      </c>
      <c r="BE2" s="355" t="s">
        <v>151</v>
      </c>
      <c r="BF2" s="364" t="s">
        <v>150</v>
      </c>
      <c r="BG2" s="364" t="s">
        <v>151</v>
      </c>
      <c r="BH2" s="355" t="s">
        <v>150</v>
      </c>
      <c r="BI2" s="355" t="s">
        <v>151</v>
      </c>
      <c r="BJ2" s="364" t="s">
        <v>150</v>
      </c>
      <c r="BK2" s="364" t="s">
        <v>151</v>
      </c>
      <c r="BL2" s="355" t="s">
        <v>150</v>
      </c>
      <c r="BM2" s="355" t="s">
        <v>151</v>
      </c>
      <c r="BN2" s="364" t="s">
        <v>150</v>
      </c>
      <c r="BO2" s="364" t="s">
        <v>151</v>
      </c>
      <c r="BP2" s="355" t="s">
        <v>150</v>
      </c>
      <c r="BQ2" s="355" t="s">
        <v>151</v>
      </c>
      <c r="BR2" s="364" t="s">
        <v>150</v>
      </c>
      <c r="BS2" s="364" t="s">
        <v>151</v>
      </c>
      <c r="BT2" s="355" t="s">
        <v>150</v>
      </c>
      <c r="BU2" s="355" t="s">
        <v>151</v>
      </c>
      <c r="BV2" s="364" t="s">
        <v>150</v>
      </c>
      <c r="BW2" s="364" t="s">
        <v>151</v>
      </c>
      <c r="BX2" s="355" t="s">
        <v>150</v>
      </c>
      <c r="BY2" s="355" t="s">
        <v>151</v>
      </c>
      <c r="BZ2" s="364" t="s">
        <v>150</v>
      </c>
      <c r="CA2" s="364" t="s">
        <v>151</v>
      </c>
      <c r="CB2" s="355" t="s">
        <v>150</v>
      </c>
      <c r="CC2" s="355" t="s">
        <v>151</v>
      </c>
      <c r="CD2" s="364" t="s">
        <v>150</v>
      </c>
      <c r="CE2" s="364" t="s">
        <v>151</v>
      </c>
      <c r="CF2" s="355" t="s">
        <v>150</v>
      </c>
      <c r="CG2" s="355" t="s">
        <v>151</v>
      </c>
      <c r="CH2" s="364" t="s">
        <v>150</v>
      </c>
      <c r="CI2" s="364" t="s">
        <v>151</v>
      </c>
      <c r="CJ2" s="355" t="s">
        <v>150</v>
      </c>
      <c r="CK2" s="355" t="s">
        <v>151</v>
      </c>
      <c r="CL2" s="364" t="s">
        <v>150</v>
      </c>
      <c r="CM2" s="364" t="s">
        <v>151</v>
      </c>
      <c r="CN2" s="355" t="s">
        <v>150</v>
      </c>
      <c r="CO2" s="355" t="s">
        <v>151</v>
      </c>
      <c r="CP2" s="364" t="s">
        <v>150</v>
      </c>
      <c r="CQ2" s="364" t="s">
        <v>151</v>
      </c>
      <c r="CR2" s="355" t="s">
        <v>150</v>
      </c>
      <c r="CS2" s="355" t="s">
        <v>151</v>
      </c>
      <c r="CT2" s="364" t="s">
        <v>150</v>
      </c>
      <c r="CU2" s="364" t="s">
        <v>151</v>
      </c>
      <c r="CV2" s="355" t="s">
        <v>150</v>
      </c>
      <c r="CW2" s="355" t="s">
        <v>151</v>
      </c>
      <c r="CX2" s="364" t="s">
        <v>150</v>
      </c>
      <c r="CY2" s="364" t="s">
        <v>151</v>
      </c>
      <c r="CZ2" s="355" t="s">
        <v>150</v>
      </c>
      <c r="DA2" s="355" t="s">
        <v>151</v>
      </c>
      <c r="DB2" s="364" t="s">
        <v>150</v>
      </c>
      <c r="DC2" s="364" t="s">
        <v>151</v>
      </c>
      <c r="DD2" s="355" t="s">
        <v>150</v>
      </c>
      <c r="DE2" s="355" t="s">
        <v>151</v>
      </c>
      <c r="DF2" s="364" t="s">
        <v>150</v>
      </c>
      <c r="DG2" s="364" t="s">
        <v>151</v>
      </c>
      <c r="DH2" s="355" t="s">
        <v>150</v>
      </c>
      <c r="DI2" s="355" t="s">
        <v>151</v>
      </c>
      <c r="DJ2" s="364" t="s">
        <v>150</v>
      </c>
      <c r="DK2" s="364" t="s">
        <v>151</v>
      </c>
      <c r="DL2" s="355" t="s">
        <v>150</v>
      </c>
      <c r="DM2" s="355" t="s">
        <v>151</v>
      </c>
      <c r="DN2" s="364" t="s">
        <v>150</v>
      </c>
      <c r="DO2" s="364" t="s">
        <v>151</v>
      </c>
      <c r="DP2" s="355" t="s">
        <v>150</v>
      </c>
      <c r="DQ2" s="355" t="s">
        <v>151</v>
      </c>
      <c r="DR2" s="364" t="s">
        <v>150</v>
      </c>
      <c r="DS2" s="364" t="s">
        <v>151</v>
      </c>
      <c r="DT2" s="355" t="s">
        <v>150</v>
      </c>
      <c r="DU2" s="355" t="s">
        <v>151</v>
      </c>
      <c r="DV2" s="364" t="s">
        <v>150</v>
      </c>
      <c r="DW2" s="364" t="s">
        <v>151</v>
      </c>
      <c r="DX2" s="355" t="s">
        <v>150</v>
      </c>
      <c r="DY2" s="355" t="s">
        <v>151</v>
      </c>
      <c r="DZ2" s="364" t="s">
        <v>150</v>
      </c>
      <c r="EA2" s="364" t="s">
        <v>151</v>
      </c>
      <c r="EB2" s="355" t="s">
        <v>150</v>
      </c>
      <c r="EC2" s="355" t="s">
        <v>151</v>
      </c>
      <c r="ED2" s="364" t="s">
        <v>150</v>
      </c>
      <c r="EE2" s="364" t="s">
        <v>151</v>
      </c>
      <c r="EF2" s="355" t="s">
        <v>150</v>
      </c>
      <c r="EG2" s="355" t="s">
        <v>151</v>
      </c>
      <c r="EH2" s="364" t="s">
        <v>150</v>
      </c>
      <c r="EI2" s="364" t="s">
        <v>151</v>
      </c>
      <c r="EJ2" s="355" t="s">
        <v>150</v>
      </c>
      <c r="EK2" s="355" t="s">
        <v>151</v>
      </c>
      <c r="EL2" s="364" t="s">
        <v>150</v>
      </c>
      <c r="EM2" s="364" t="s">
        <v>151</v>
      </c>
      <c r="EN2" s="355" t="s">
        <v>150</v>
      </c>
      <c r="EO2" s="355" t="s">
        <v>151</v>
      </c>
      <c r="EP2" s="364" t="s">
        <v>150</v>
      </c>
      <c r="EQ2" s="364" t="s">
        <v>151</v>
      </c>
      <c r="ER2" s="355" t="s">
        <v>150</v>
      </c>
      <c r="ES2" s="355" t="s">
        <v>151</v>
      </c>
      <c r="ET2" s="364" t="s">
        <v>150</v>
      </c>
      <c r="EU2" s="364" t="s">
        <v>151</v>
      </c>
      <c r="EV2" s="355" t="s">
        <v>150</v>
      </c>
      <c r="EW2" s="355" t="s">
        <v>151</v>
      </c>
      <c r="EX2" s="364" t="s">
        <v>150</v>
      </c>
      <c r="EY2" s="364" t="s">
        <v>151</v>
      </c>
      <c r="EZ2" s="355" t="s">
        <v>150</v>
      </c>
      <c r="FA2" s="355" t="s">
        <v>151</v>
      </c>
      <c r="FB2" s="364" t="s">
        <v>150</v>
      </c>
      <c r="FC2" s="364" t="s">
        <v>151</v>
      </c>
      <c r="FD2" s="355" t="s">
        <v>150</v>
      </c>
      <c r="FE2" s="355" t="s">
        <v>151</v>
      </c>
      <c r="FF2" s="364" t="s">
        <v>150</v>
      </c>
      <c r="FG2" s="364" t="s">
        <v>151</v>
      </c>
      <c r="FH2" s="355" t="s">
        <v>150</v>
      </c>
      <c r="FI2" s="355" t="s">
        <v>151</v>
      </c>
      <c r="FJ2" s="364" t="s">
        <v>150</v>
      </c>
      <c r="FK2" s="364" t="s">
        <v>151</v>
      </c>
      <c r="FL2" s="355" t="s">
        <v>150</v>
      </c>
      <c r="FM2" s="355" t="s">
        <v>151</v>
      </c>
      <c r="FN2" s="364" t="s">
        <v>150</v>
      </c>
      <c r="FO2" s="364" t="s">
        <v>151</v>
      </c>
      <c r="FP2" s="355" t="s">
        <v>150</v>
      </c>
      <c r="FQ2" s="355" t="s">
        <v>151</v>
      </c>
      <c r="FR2" s="364" t="s">
        <v>150</v>
      </c>
      <c r="FS2" s="364" t="s">
        <v>151</v>
      </c>
      <c r="FT2" s="355" t="s">
        <v>150</v>
      </c>
      <c r="FU2" s="355" t="s">
        <v>151</v>
      </c>
      <c r="FV2" s="364" t="s">
        <v>150</v>
      </c>
      <c r="FW2" s="364" t="s">
        <v>151</v>
      </c>
      <c r="FX2" s="355" t="s">
        <v>150</v>
      </c>
      <c r="FY2" s="355" t="s">
        <v>151</v>
      </c>
      <c r="FZ2" s="364" t="s">
        <v>150</v>
      </c>
      <c r="GA2" s="364" t="s">
        <v>151</v>
      </c>
      <c r="GB2" s="355" t="s">
        <v>150</v>
      </c>
      <c r="GC2" s="355" t="s">
        <v>151</v>
      </c>
      <c r="GD2" s="364" t="s">
        <v>150</v>
      </c>
      <c r="GE2" s="364" t="s">
        <v>151</v>
      </c>
      <c r="GF2" s="355" t="s">
        <v>150</v>
      </c>
      <c r="GG2" s="355" t="s">
        <v>151</v>
      </c>
      <c r="GH2" s="364" t="s">
        <v>150</v>
      </c>
      <c r="GI2" s="364" t="s">
        <v>151</v>
      </c>
      <c r="GJ2" s="355" t="s">
        <v>150</v>
      </c>
      <c r="GK2" s="355" t="s">
        <v>151</v>
      </c>
      <c r="GL2" s="364" t="s">
        <v>150</v>
      </c>
      <c r="GM2" s="364" t="s">
        <v>151</v>
      </c>
      <c r="GN2" s="355" t="s">
        <v>150</v>
      </c>
      <c r="GO2" s="355" t="s">
        <v>151</v>
      </c>
      <c r="GP2" s="364" t="s">
        <v>150</v>
      </c>
      <c r="GQ2" s="364" t="s">
        <v>151</v>
      </c>
      <c r="GR2" s="355" t="s">
        <v>150</v>
      </c>
      <c r="GS2" s="355" t="s">
        <v>151</v>
      </c>
    </row>
    <row r="3">
      <c r="A3" s="365" t="s">
        <v>152</v>
      </c>
      <c r="B3" s="365"/>
      <c r="C3" s="365"/>
      <c r="D3" s="365"/>
      <c r="E3" s="365"/>
      <c r="F3" s="365"/>
      <c r="G3" s="365"/>
      <c r="H3" s="365"/>
      <c r="I3" s="365"/>
      <c r="J3" s="365"/>
      <c r="K3" s="365"/>
      <c r="L3" s="365"/>
      <c r="M3" s="365"/>
      <c r="N3" s="365"/>
      <c r="O3" s="365"/>
      <c r="P3" s="365"/>
      <c r="Q3" s="365"/>
      <c r="R3" s="365"/>
      <c r="S3" s="365"/>
      <c r="T3" s="365"/>
      <c r="U3" s="365"/>
      <c r="V3" s="365"/>
      <c r="W3" s="365"/>
      <c r="X3" s="365"/>
      <c r="Y3" s="365"/>
      <c r="Z3" s="365"/>
      <c r="AA3" s="365"/>
      <c r="AB3" s="365"/>
      <c r="AC3" s="365"/>
      <c r="AD3" s="365"/>
      <c r="AE3" s="365"/>
      <c r="AF3" s="365"/>
      <c r="AG3" s="365"/>
      <c r="AH3" s="365"/>
      <c r="AI3" s="365"/>
      <c r="AJ3" s="365"/>
      <c r="AK3" s="365"/>
      <c r="AL3" s="365"/>
      <c r="AM3" s="365"/>
      <c r="AN3" s="365"/>
      <c r="AO3" s="365"/>
      <c r="AP3" s="365"/>
      <c r="AQ3" s="365"/>
      <c r="AR3" s="365"/>
      <c r="AS3" s="365"/>
      <c r="AT3" s="365"/>
      <c r="AU3" s="365"/>
      <c r="AV3" s="365"/>
      <c r="AW3" s="365"/>
      <c r="AX3" s="365"/>
      <c r="AY3" s="365"/>
      <c r="AZ3" s="365"/>
      <c r="BA3" s="365"/>
      <c r="BB3" s="365"/>
      <c r="BC3" s="365"/>
      <c r="BD3" s="365"/>
      <c r="BE3" s="365"/>
      <c r="BF3" s="365"/>
      <c r="BG3" s="365"/>
      <c r="BH3" s="365"/>
      <c r="BI3" s="365"/>
      <c r="BJ3" s="365"/>
      <c r="BK3" s="365"/>
      <c r="BL3" s="365"/>
      <c r="BM3" s="365"/>
      <c r="BN3" s="365"/>
      <c r="BO3" s="365"/>
      <c r="BP3" s="365"/>
      <c r="BQ3" s="365"/>
      <c r="BR3" s="365"/>
      <c r="BS3" s="365"/>
      <c r="BT3" s="365"/>
      <c r="BU3" s="365"/>
      <c r="BV3" s="365"/>
      <c r="BW3" s="365"/>
      <c r="BX3" s="365"/>
      <c r="BY3" s="365"/>
      <c r="BZ3" s="365"/>
      <c r="CA3" s="365"/>
      <c r="CB3" s="365"/>
      <c r="CC3" s="365"/>
      <c r="CD3" s="365"/>
      <c r="CE3" s="365"/>
      <c r="CF3" s="365"/>
      <c r="CG3" s="365"/>
      <c r="CH3" s="365"/>
      <c r="CI3" s="365"/>
      <c r="CJ3" s="365"/>
      <c r="CK3" s="365"/>
      <c r="CL3" s="365"/>
      <c r="CM3" s="365"/>
      <c r="CN3" s="365"/>
      <c r="CO3" s="365"/>
      <c r="CP3" s="365"/>
      <c r="CQ3" s="365"/>
      <c r="CR3" s="365"/>
      <c r="CS3" s="365"/>
      <c r="CT3" s="365"/>
      <c r="CU3" s="365"/>
      <c r="CV3" s="365"/>
      <c r="CW3" s="365"/>
      <c r="CX3" s="365"/>
      <c r="CY3" s="365"/>
      <c r="CZ3" s="365"/>
      <c r="DA3" s="365"/>
      <c r="DB3" s="365"/>
      <c r="DC3" s="365"/>
      <c r="DD3" s="365"/>
      <c r="DE3" s="365"/>
      <c r="DF3" s="365"/>
      <c r="DG3" s="365"/>
      <c r="DH3" s="365"/>
      <c r="DI3" s="365"/>
      <c r="DJ3" s="365"/>
      <c r="DK3" s="365"/>
      <c r="DL3" s="365"/>
      <c r="DM3" s="365"/>
      <c r="DN3" s="365"/>
      <c r="DO3" s="365"/>
      <c r="DP3" s="365"/>
      <c r="DQ3" s="365"/>
      <c r="DR3" s="365"/>
      <c r="DS3" s="365"/>
      <c r="DT3" s="365"/>
      <c r="DU3" s="365"/>
      <c r="DV3" s="365"/>
      <c r="DW3" s="365"/>
      <c r="DX3" s="365"/>
      <c r="DY3" s="365"/>
      <c r="DZ3" s="365"/>
      <c r="EA3" s="365"/>
      <c r="EB3" s="365"/>
      <c r="EC3" s="365"/>
      <c r="ED3" s="365"/>
      <c r="EE3" s="365"/>
      <c r="EF3" s="365"/>
      <c r="EG3" s="365"/>
      <c r="EH3" s="365"/>
      <c r="EI3" s="365"/>
      <c r="EJ3" s="365"/>
      <c r="EK3" s="365"/>
      <c r="EL3" s="365"/>
      <c r="EM3" s="365"/>
      <c r="EN3" s="365"/>
      <c r="EO3" s="365"/>
      <c r="EP3" s="365"/>
      <c r="EQ3" s="365"/>
      <c r="ER3" s="365"/>
      <c r="ES3" s="365"/>
      <c r="ET3" s="365"/>
      <c r="EU3" s="365"/>
      <c r="EV3" s="365"/>
      <c r="EW3" s="365"/>
      <c r="EX3" s="365"/>
      <c r="EY3" s="365"/>
      <c r="EZ3" s="365"/>
      <c r="FA3" s="365"/>
      <c r="FB3" s="365"/>
      <c r="FC3" s="365"/>
      <c r="FD3" s="365"/>
      <c r="FE3" s="365"/>
      <c r="FF3" s="365"/>
      <c r="FG3" s="365"/>
      <c r="FH3" s="365"/>
      <c r="FI3" s="365"/>
      <c r="FJ3" s="365"/>
      <c r="FK3" s="365"/>
      <c r="FL3" s="365"/>
      <c r="FM3" s="365"/>
      <c r="FN3" s="365"/>
      <c r="FO3" s="365"/>
      <c r="FP3" s="365"/>
      <c r="FQ3" s="365"/>
      <c r="FR3" s="365"/>
      <c r="FS3" s="365"/>
      <c r="FT3" s="365"/>
      <c r="FU3" s="365"/>
      <c r="FV3" s="365"/>
      <c r="FW3" s="365"/>
      <c r="FX3" s="365"/>
      <c r="FY3" s="365"/>
      <c r="FZ3" s="365"/>
      <c r="GA3" s="365"/>
      <c r="GB3" s="365"/>
      <c r="GC3" s="365"/>
      <c r="GD3" s="365"/>
      <c r="GE3" s="365"/>
      <c r="GF3" s="365"/>
      <c r="GG3" s="365"/>
      <c r="GH3" s="365"/>
      <c r="GI3" s="365"/>
      <c r="GJ3" s="365"/>
      <c r="GK3" s="365"/>
      <c r="GL3" s="365"/>
      <c r="GM3" s="365"/>
      <c r="GN3" s="365"/>
      <c r="GO3" s="365"/>
      <c r="GP3" s="365"/>
      <c r="GQ3" s="365"/>
      <c r="GR3" s="365"/>
      <c r="GS3" s="365"/>
    </row>
    <row r="4">
      <c r="A4" s="367" t="s">
        <v>236</v>
      </c>
      <c r="B4" s="371"/>
      <c r="C4" s="371"/>
      <c r="D4" s="370"/>
      <c r="E4" s="370"/>
      <c r="F4" s="371"/>
      <c r="G4" s="371"/>
      <c r="H4" s="370"/>
      <c r="I4" s="370"/>
      <c r="J4" s="371"/>
      <c r="K4" s="371"/>
      <c r="L4" s="370"/>
      <c r="M4" s="370"/>
      <c r="N4" s="371"/>
      <c r="O4" s="371"/>
      <c r="P4" s="370"/>
      <c r="Q4" s="370"/>
      <c r="R4" s="371"/>
      <c r="S4" s="371"/>
      <c r="T4" s="370"/>
      <c r="U4" s="370"/>
      <c r="V4" s="371"/>
      <c r="W4" s="371"/>
      <c r="X4" s="370"/>
      <c r="Y4" s="370"/>
      <c r="Z4" s="371"/>
      <c r="AA4" s="371"/>
      <c r="AB4" s="370"/>
      <c r="AC4" s="370"/>
      <c r="AD4" s="371"/>
      <c r="AE4" s="371"/>
      <c r="AF4" s="370"/>
      <c r="AG4" s="370"/>
      <c r="AH4" s="371"/>
      <c r="AI4" s="371"/>
      <c r="AJ4" s="370"/>
      <c r="AK4" s="370"/>
      <c r="AL4" s="371"/>
      <c r="AM4" s="371"/>
      <c r="AN4" s="370"/>
      <c r="AO4" s="370"/>
      <c r="AP4" s="371"/>
      <c r="AQ4" s="371"/>
      <c r="AR4" s="370"/>
      <c r="AS4" s="370"/>
      <c r="AT4" s="371"/>
      <c r="AU4" s="371"/>
      <c r="AV4" s="370"/>
      <c r="AW4" s="370"/>
      <c r="AX4" s="371"/>
      <c r="AY4" s="371"/>
      <c r="AZ4" s="370"/>
      <c r="BA4" s="370"/>
      <c r="BB4" s="371"/>
      <c r="BC4" s="371"/>
      <c r="BD4" s="370"/>
      <c r="BE4" s="370"/>
      <c r="BF4" s="371"/>
      <c r="BG4" s="371"/>
      <c r="BH4" s="370"/>
      <c r="BI4" s="370"/>
      <c r="BJ4" s="371"/>
      <c r="BK4" s="371"/>
      <c r="BL4" s="370"/>
      <c r="BM4" s="370"/>
      <c r="BN4" s="371"/>
      <c r="BO4" s="371"/>
      <c r="BP4" s="370"/>
      <c r="BQ4" s="370"/>
      <c r="BR4" s="371"/>
      <c r="BS4" s="371"/>
      <c r="BT4" s="370"/>
      <c r="BU4" s="370"/>
      <c r="BV4" s="371"/>
      <c r="BW4" s="371"/>
      <c r="BX4" s="370"/>
      <c r="BY4" s="370"/>
      <c r="BZ4" s="371"/>
      <c r="CA4" s="371"/>
      <c r="CB4" s="370"/>
      <c r="CC4" s="370"/>
      <c r="CD4" s="371"/>
      <c r="CE4" s="371"/>
      <c r="CF4" s="370"/>
      <c r="CG4" s="370"/>
      <c r="CH4" s="371"/>
      <c r="CI4" s="371"/>
      <c r="CJ4" s="370"/>
      <c r="CK4" s="370"/>
      <c r="CL4" s="371"/>
      <c r="CM4" s="371"/>
      <c r="CN4" s="370"/>
      <c r="CO4" s="370"/>
      <c r="CP4" s="371"/>
      <c r="CQ4" s="371"/>
      <c r="CR4" s="370"/>
      <c r="CS4" s="370"/>
      <c r="CT4" s="371"/>
      <c r="CU4" s="371"/>
      <c r="CV4" s="370"/>
      <c r="CW4" s="370"/>
      <c r="CX4" s="371"/>
      <c r="CY4" s="371"/>
      <c r="CZ4" s="370"/>
      <c r="DA4" s="370"/>
      <c r="DB4" s="371"/>
      <c r="DC4" s="371"/>
      <c r="DD4" s="370"/>
      <c r="DE4" s="370"/>
      <c r="DF4" s="371"/>
      <c r="DG4" s="371"/>
      <c r="DH4" s="370"/>
      <c r="DI4" s="370"/>
      <c r="DJ4" s="371"/>
      <c r="DK4" s="371"/>
      <c r="DL4" s="370"/>
      <c r="DM4" s="370"/>
      <c r="DN4" s="371"/>
      <c r="DO4" s="371"/>
      <c r="DP4" s="370"/>
      <c r="DQ4" s="370"/>
      <c r="DR4" s="371"/>
      <c r="DS4" s="371"/>
      <c r="DT4" s="370"/>
      <c r="DU4" s="370"/>
      <c r="DV4" s="371"/>
      <c r="DW4" s="371"/>
      <c r="DX4" s="370"/>
      <c r="DY4" s="370"/>
      <c r="DZ4" s="371"/>
      <c r="EA4" s="371"/>
      <c r="EB4" s="370"/>
      <c r="EC4" s="370"/>
      <c r="ED4" s="371"/>
      <c r="EE4" s="371"/>
      <c r="EF4" s="370"/>
      <c r="EG4" s="370"/>
      <c r="EH4" s="371"/>
      <c r="EI4" s="371"/>
      <c r="EJ4" s="370"/>
      <c r="EK4" s="370"/>
      <c r="EL4" s="371"/>
      <c r="EM4" s="371"/>
      <c r="EN4" s="370"/>
      <c r="EO4" s="370"/>
      <c r="EP4" s="371"/>
      <c r="EQ4" s="371"/>
      <c r="ER4" s="370"/>
      <c r="ES4" s="370"/>
      <c r="ET4" s="371"/>
      <c r="EU4" s="371"/>
      <c r="EV4" s="370"/>
      <c r="EW4" s="370"/>
      <c r="EX4" s="371"/>
      <c r="EY4" s="371"/>
      <c r="EZ4" s="370"/>
      <c r="FA4" s="370"/>
      <c r="FB4" s="371"/>
      <c r="FC4" s="371"/>
      <c r="FD4" s="370"/>
      <c r="FE4" s="370"/>
      <c r="FF4" s="371"/>
      <c r="FG4" s="371"/>
      <c r="FH4" s="370"/>
      <c r="FI4" s="370"/>
      <c r="FJ4" s="371"/>
      <c r="FK4" s="371"/>
      <c r="FL4" s="370"/>
      <c r="FM4" s="370"/>
      <c r="FN4" s="371"/>
      <c r="FO4" s="371"/>
      <c r="FP4" s="370"/>
      <c r="FQ4" s="370"/>
      <c r="FR4" s="371"/>
      <c r="FS4" s="371"/>
      <c r="FT4" s="370"/>
      <c r="FU4" s="370"/>
      <c r="FV4" s="371"/>
      <c r="FW4" s="371"/>
      <c r="FX4" s="370"/>
      <c r="FY4" s="370"/>
      <c r="FZ4" s="371"/>
      <c r="GA4" s="371"/>
      <c r="GB4" s="370"/>
      <c r="GC4" s="370"/>
      <c r="GD4" s="371"/>
      <c r="GE4" s="371"/>
      <c r="GF4" s="370"/>
      <c r="GG4" s="370"/>
      <c r="GH4" s="371"/>
      <c r="GI4" s="371"/>
      <c r="GJ4" s="370"/>
      <c r="GK4" s="370"/>
      <c r="GL4" s="371"/>
      <c r="GM4" s="371"/>
      <c r="GN4" s="370"/>
      <c r="GO4" s="370"/>
      <c r="GP4" s="371"/>
      <c r="GQ4" s="371"/>
      <c r="GR4" s="370"/>
      <c r="GS4" s="370"/>
    </row>
    <row r="5">
      <c r="A5" s="367" t="s">
        <v>237</v>
      </c>
      <c r="B5" s="371"/>
      <c r="C5" s="371"/>
      <c r="D5" s="370"/>
      <c r="E5" s="370"/>
      <c r="F5" s="371"/>
      <c r="G5" s="371"/>
      <c r="H5" s="370"/>
      <c r="I5" s="370"/>
      <c r="J5" s="371"/>
      <c r="K5" s="371"/>
      <c r="L5" s="370"/>
      <c r="M5" s="370"/>
      <c r="N5" s="371"/>
      <c r="O5" s="371"/>
      <c r="P5" s="370"/>
      <c r="Q5" s="370"/>
      <c r="R5" s="371"/>
      <c r="S5" s="371"/>
      <c r="T5" s="370"/>
      <c r="U5" s="370"/>
      <c r="V5" s="371"/>
      <c r="W5" s="371"/>
      <c r="X5" s="370"/>
      <c r="Y5" s="370"/>
      <c r="Z5" s="371"/>
      <c r="AA5" s="371"/>
      <c r="AB5" s="370"/>
      <c r="AC5" s="370"/>
      <c r="AD5" s="371"/>
      <c r="AE5" s="371"/>
      <c r="AF5" s="370"/>
      <c r="AG5" s="370"/>
      <c r="AH5" s="371"/>
      <c r="AI5" s="371"/>
      <c r="AJ5" s="370"/>
      <c r="AK5" s="370"/>
      <c r="AL5" s="371"/>
      <c r="AM5" s="371"/>
      <c r="AN5" s="370"/>
      <c r="AO5" s="370"/>
      <c r="AP5" s="371"/>
      <c r="AQ5" s="371"/>
      <c r="AR5" s="370"/>
      <c r="AS5" s="370"/>
      <c r="AT5" s="371"/>
      <c r="AU5" s="371"/>
      <c r="AV5" s="370"/>
      <c r="AW5" s="370"/>
      <c r="AX5" s="371"/>
      <c r="AY5" s="371"/>
      <c r="AZ5" s="370"/>
      <c r="BA5" s="370"/>
      <c r="BB5" s="371"/>
      <c r="BC5" s="371"/>
      <c r="BD5" s="370"/>
      <c r="BE5" s="370"/>
      <c r="BF5" s="371"/>
      <c r="BG5" s="371"/>
      <c r="BH5" s="370"/>
      <c r="BI5" s="370"/>
      <c r="BJ5" s="371"/>
      <c r="BK5" s="371"/>
      <c r="BL5" s="370"/>
      <c r="BM5" s="370"/>
      <c r="BN5" s="371"/>
      <c r="BO5" s="371"/>
      <c r="BP5" s="370"/>
      <c r="BQ5" s="370"/>
      <c r="BR5" s="371"/>
      <c r="BS5" s="371"/>
      <c r="BT5" s="370"/>
      <c r="BU5" s="370"/>
      <c r="BV5" s="371"/>
      <c r="BW5" s="371"/>
      <c r="BX5" s="370"/>
      <c r="BY5" s="370"/>
      <c r="BZ5" s="371"/>
      <c r="CA5" s="371"/>
      <c r="CB5" s="370"/>
      <c r="CC5" s="370"/>
      <c r="CD5" s="371"/>
      <c r="CE5" s="371"/>
      <c r="CF5" s="370"/>
      <c r="CG5" s="370"/>
      <c r="CH5" s="371"/>
      <c r="CI5" s="371"/>
      <c r="CJ5" s="370"/>
      <c r="CK5" s="370"/>
      <c r="CL5" s="371"/>
      <c r="CM5" s="371"/>
      <c r="CN5" s="370"/>
      <c r="CO5" s="370"/>
      <c r="CP5" s="371"/>
      <c r="CQ5" s="371"/>
      <c r="CR5" s="370"/>
      <c r="CS5" s="370"/>
      <c r="CT5" s="371"/>
      <c r="CU5" s="371"/>
      <c r="CV5" s="370"/>
      <c r="CW5" s="370"/>
      <c r="CX5" s="371"/>
      <c r="CY5" s="371"/>
      <c r="CZ5" s="370"/>
      <c r="DA5" s="370"/>
      <c r="DB5" s="371"/>
      <c r="DC5" s="371"/>
      <c r="DD5" s="370"/>
      <c r="DE5" s="370"/>
      <c r="DF5" s="371"/>
      <c r="DG5" s="371"/>
      <c r="DH5" s="370"/>
      <c r="DI5" s="370"/>
      <c r="DJ5" s="371"/>
      <c r="DK5" s="371"/>
      <c r="DL5" s="370"/>
      <c r="DM5" s="370"/>
      <c r="DN5" s="371"/>
      <c r="DO5" s="371"/>
      <c r="DP5" s="370"/>
      <c r="DQ5" s="370"/>
      <c r="DR5" s="371"/>
      <c r="DS5" s="371"/>
      <c r="DT5" s="370"/>
      <c r="DU5" s="370"/>
      <c r="DV5" s="371"/>
      <c r="DW5" s="371"/>
      <c r="DX5" s="370"/>
      <c r="DY5" s="370"/>
      <c r="DZ5" s="371"/>
      <c r="EA5" s="371"/>
      <c r="EB5" s="370"/>
      <c r="EC5" s="370"/>
      <c r="ED5" s="371"/>
      <c r="EE5" s="371"/>
      <c r="EF5" s="370"/>
      <c r="EG5" s="370"/>
      <c r="EH5" s="371"/>
      <c r="EI5" s="371"/>
      <c r="EJ5" s="370"/>
      <c r="EK5" s="370"/>
      <c r="EL5" s="371"/>
      <c r="EM5" s="371"/>
      <c r="EN5" s="370"/>
      <c r="EO5" s="370"/>
      <c r="EP5" s="371"/>
      <c r="EQ5" s="371"/>
      <c r="ER5" s="370"/>
      <c r="ES5" s="370"/>
      <c r="ET5" s="371"/>
      <c r="EU5" s="371"/>
      <c r="EV5" s="370"/>
      <c r="EW5" s="370"/>
      <c r="EX5" s="371"/>
      <c r="EY5" s="371"/>
      <c r="EZ5" s="370"/>
      <c r="FA5" s="370"/>
      <c r="FB5" s="371"/>
      <c r="FC5" s="371"/>
      <c r="FD5" s="370"/>
      <c r="FE5" s="370"/>
      <c r="FF5" s="371"/>
      <c r="FG5" s="371"/>
      <c r="FH5" s="370"/>
      <c r="FI5" s="370"/>
      <c r="FJ5" s="371"/>
      <c r="FK5" s="371"/>
      <c r="FL5" s="370"/>
      <c r="FM5" s="370"/>
      <c r="FN5" s="371"/>
      <c r="FO5" s="371"/>
      <c r="FP5" s="370"/>
      <c r="FQ5" s="370"/>
      <c r="FR5" s="371"/>
      <c r="FS5" s="371"/>
      <c r="FT5" s="370"/>
      <c r="FU5" s="370"/>
      <c r="FV5" s="371"/>
      <c r="FW5" s="371"/>
      <c r="FX5" s="370"/>
      <c r="FY5" s="370"/>
      <c r="FZ5" s="371"/>
      <c r="GA5" s="371"/>
      <c r="GB5" s="370"/>
      <c r="GC5" s="370"/>
      <c r="GD5" s="371"/>
      <c r="GE5" s="371"/>
      <c r="GF5" s="370"/>
      <c r="GG5" s="370"/>
      <c r="GH5" s="371"/>
      <c r="GI5" s="371"/>
      <c r="GJ5" s="370"/>
      <c r="GK5" s="370"/>
      <c r="GL5" s="371"/>
      <c r="GM5" s="371"/>
      <c r="GN5" s="370"/>
      <c r="GO5" s="370"/>
      <c r="GP5" s="371"/>
      <c r="GQ5" s="371"/>
      <c r="GR5" s="370"/>
      <c r="GS5" s="370"/>
    </row>
    <row r="6">
      <c r="A6" s="367" t="s">
        <v>238</v>
      </c>
      <c r="B6" s="371"/>
      <c r="C6" s="371"/>
      <c r="D6" s="370"/>
      <c r="E6" s="370"/>
      <c r="F6" s="371"/>
      <c r="G6" s="371"/>
      <c r="H6" s="370"/>
      <c r="I6" s="370"/>
      <c r="J6" s="371"/>
      <c r="K6" s="371"/>
      <c r="L6" s="370"/>
      <c r="M6" s="370"/>
      <c r="N6" s="371"/>
      <c r="O6" s="371"/>
      <c r="P6" s="370"/>
      <c r="Q6" s="370"/>
      <c r="R6" s="371"/>
      <c r="S6" s="371"/>
      <c r="T6" s="370"/>
      <c r="U6" s="370"/>
      <c r="V6" s="371"/>
      <c r="W6" s="371"/>
      <c r="X6" s="370"/>
      <c r="Y6" s="370"/>
      <c r="Z6" s="371"/>
      <c r="AA6" s="371"/>
      <c r="AB6" s="370"/>
      <c r="AC6" s="370"/>
      <c r="AD6" s="371"/>
      <c r="AE6" s="371"/>
      <c r="AF6" s="370"/>
      <c r="AG6" s="370"/>
      <c r="AH6" s="371"/>
      <c r="AI6" s="371"/>
      <c r="AJ6" s="370"/>
      <c r="AK6" s="370"/>
      <c r="AL6" s="371"/>
      <c r="AM6" s="371"/>
      <c r="AN6" s="370"/>
      <c r="AO6" s="370"/>
      <c r="AP6" s="371"/>
      <c r="AQ6" s="371"/>
      <c r="AR6" s="370"/>
      <c r="AS6" s="370"/>
      <c r="AT6" s="371"/>
      <c r="AU6" s="371"/>
      <c r="AV6" s="370"/>
      <c r="AW6" s="370"/>
      <c r="AX6" s="371"/>
      <c r="AY6" s="371"/>
      <c r="AZ6" s="370"/>
      <c r="BA6" s="370"/>
      <c r="BB6" s="371"/>
      <c r="BC6" s="371"/>
      <c r="BD6" s="370"/>
      <c r="BE6" s="370"/>
      <c r="BF6" s="371"/>
      <c r="BG6" s="371"/>
      <c r="BH6" s="370"/>
      <c r="BI6" s="370"/>
      <c r="BJ6" s="371"/>
      <c r="BK6" s="371"/>
      <c r="BL6" s="370"/>
      <c r="BM6" s="370"/>
      <c r="BN6" s="371"/>
      <c r="BO6" s="371"/>
      <c r="BP6" s="370"/>
      <c r="BQ6" s="370"/>
      <c r="BR6" s="371"/>
      <c r="BS6" s="371"/>
      <c r="BT6" s="370"/>
      <c r="BU6" s="370"/>
      <c r="BV6" s="371"/>
      <c r="BW6" s="371"/>
      <c r="BX6" s="370"/>
      <c r="BY6" s="370"/>
      <c r="BZ6" s="371"/>
      <c r="CA6" s="371"/>
      <c r="CB6" s="370"/>
      <c r="CC6" s="370"/>
      <c r="CD6" s="371"/>
      <c r="CE6" s="371"/>
      <c r="CF6" s="370"/>
      <c r="CG6" s="370"/>
      <c r="CH6" s="371"/>
      <c r="CI6" s="371"/>
      <c r="CJ6" s="370"/>
      <c r="CK6" s="370"/>
      <c r="CL6" s="371"/>
      <c r="CM6" s="371"/>
      <c r="CN6" s="370"/>
      <c r="CO6" s="370"/>
      <c r="CP6" s="371"/>
      <c r="CQ6" s="371"/>
      <c r="CR6" s="370"/>
      <c r="CS6" s="370"/>
      <c r="CT6" s="371"/>
      <c r="CU6" s="371"/>
      <c r="CV6" s="370"/>
      <c r="CW6" s="370"/>
      <c r="CX6" s="371"/>
      <c r="CY6" s="371"/>
      <c r="CZ6" s="370"/>
      <c r="DA6" s="370"/>
      <c r="DB6" s="371"/>
      <c r="DC6" s="371"/>
      <c r="DD6" s="370"/>
      <c r="DE6" s="370"/>
      <c r="DF6" s="371"/>
      <c r="DG6" s="371"/>
      <c r="DH6" s="370"/>
      <c r="DI6" s="370"/>
      <c r="DJ6" s="371"/>
      <c r="DK6" s="371"/>
      <c r="DL6" s="370"/>
      <c r="DM6" s="370"/>
      <c r="DN6" s="371"/>
      <c r="DO6" s="371"/>
      <c r="DP6" s="370"/>
      <c r="DQ6" s="370"/>
      <c r="DR6" s="371"/>
      <c r="DS6" s="371"/>
      <c r="DT6" s="370"/>
      <c r="DU6" s="370"/>
      <c r="DV6" s="371"/>
      <c r="DW6" s="371"/>
      <c r="DX6" s="370"/>
      <c r="DY6" s="370"/>
      <c r="DZ6" s="371"/>
      <c r="EA6" s="371"/>
      <c r="EB6" s="370"/>
      <c r="EC6" s="370"/>
      <c r="ED6" s="371"/>
      <c r="EE6" s="371"/>
      <c r="EF6" s="370"/>
      <c r="EG6" s="370"/>
      <c r="EH6" s="371"/>
      <c r="EI6" s="371"/>
      <c r="EJ6" s="370"/>
      <c r="EK6" s="370"/>
      <c r="EL6" s="371"/>
      <c r="EM6" s="371"/>
      <c r="EN6" s="370"/>
      <c r="EO6" s="370"/>
      <c r="EP6" s="371"/>
      <c r="EQ6" s="371"/>
      <c r="ER6" s="370"/>
      <c r="ES6" s="370"/>
      <c r="ET6" s="371"/>
      <c r="EU6" s="371"/>
      <c r="EV6" s="370"/>
      <c r="EW6" s="370"/>
      <c r="EX6" s="371"/>
      <c r="EY6" s="371"/>
      <c r="EZ6" s="370"/>
      <c r="FA6" s="370"/>
      <c r="FB6" s="371"/>
      <c r="FC6" s="371"/>
      <c r="FD6" s="370"/>
      <c r="FE6" s="370"/>
      <c r="FF6" s="371"/>
      <c r="FG6" s="371"/>
      <c r="FH6" s="370"/>
      <c r="FI6" s="370"/>
      <c r="FJ6" s="371"/>
      <c r="FK6" s="371"/>
      <c r="FL6" s="370"/>
      <c r="FM6" s="370"/>
      <c r="FN6" s="371"/>
      <c r="FO6" s="371"/>
      <c r="FP6" s="370"/>
      <c r="FQ6" s="370"/>
      <c r="FR6" s="371"/>
      <c r="FS6" s="371"/>
      <c r="FT6" s="370"/>
      <c r="FU6" s="370"/>
      <c r="FV6" s="371"/>
      <c r="FW6" s="371"/>
      <c r="FX6" s="370"/>
      <c r="FY6" s="370"/>
      <c r="FZ6" s="371"/>
      <c r="GA6" s="371"/>
      <c r="GB6" s="370"/>
      <c r="GC6" s="370"/>
      <c r="GD6" s="371"/>
      <c r="GE6" s="371"/>
      <c r="GF6" s="370"/>
      <c r="GG6" s="370"/>
      <c r="GH6" s="371"/>
      <c r="GI6" s="371"/>
      <c r="GJ6" s="370"/>
      <c r="GK6" s="370"/>
      <c r="GL6" s="371"/>
      <c r="GM6" s="371"/>
      <c r="GN6" s="370"/>
      <c r="GO6" s="370"/>
      <c r="GP6" s="371"/>
      <c r="GQ6" s="371"/>
      <c r="GR6" s="370"/>
      <c r="GS6" s="370"/>
    </row>
    <row r="7">
      <c r="A7" s="367" t="s">
        <v>239</v>
      </c>
      <c r="B7" s="371"/>
      <c r="C7" s="371"/>
      <c r="D7" s="370"/>
      <c r="E7" s="370"/>
      <c r="F7" s="371"/>
      <c r="G7" s="371"/>
      <c r="H7" s="370"/>
      <c r="I7" s="370"/>
      <c r="J7" s="371"/>
      <c r="K7" s="371"/>
      <c r="L7" s="370"/>
      <c r="M7" s="370"/>
      <c r="N7" s="371"/>
      <c r="O7" s="371"/>
      <c r="P7" s="370"/>
      <c r="Q7" s="370"/>
      <c r="R7" s="371"/>
      <c r="S7" s="371"/>
      <c r="T7" s="370"/>
      <c r="U7" s="370"/>
      <c r="V7" s="371"/>
      <c r="W7" s="371"/>
      <c r="X7" s="370"/>
      <c r="Y7" s="370"/>
      <c r="Z7" s="371"/>
      <c r="AA7" s="371"/>
      <c r="AB7" s="370"/>
      <c r="AC7" s="370"/>
      <c r="AD7" s="371"/>
      <c r="AE7" s="371"/>
      <c r="AF7" s="370"/>
      <c r="AG7" s="370"/>
      <c r="AH7" s="371"/>
      <c r="AI7" s="371"/>
      <c r="AJ7" s="370"/>
      <c r="AK7" s="370"/>
      <c r="AL7" s="371"/>
      <c r="AM7" s="371"/>
      <c r="AN7" s="370"/>
      <c r="AO7" s="370"/>
      <c r="AP7" s="371"/>
      <c r="AQ7" s="371"/>
      <c r="AR7" s="370"/>
      <c r="AS7" s="370"/>
      <c r="AT7" s="371"/>
      <c r="AU7" s="371"/>
      <c r="AV7" s="370"/>
      <c r="AW7" s="370"/>
      <c r="AX7" s="371"/>
      <c r="AY7" s="371"/>
      <c r="AZ7" s="370"/>
      <c r="BA7" s="370"/>
      <c r="BB7" s="371"/>
      <c r="BC7" s="371"/>
      <c r="BD7" s="370"/>
      <c r="BE7" s="370"/>
      <c r="BF7" s="371"/>
      <c r="BG7" s="371"/>
      <c r="BH7" s="370"/>
      <c r="BI7" s="370"/>
      <c r="BJ7" s="371"/>
      <c r="BK7" s="371"/>
      <c r="BL7" s="370"/>
      <c r="BM7" s="370"/>
      <c r="BN7" s="371"/>
      <c r="BO7" s="371"/>
      <c r="BP7" s="370"/>
      <c r="BQ7" s="370"/>
      <c r="BR7" s="371"/>
      <c r="BS7" s="371"/>
      <c r="BT7" s="370"/>
      <c r="BU7" s="370"/>
      <c r="BV7" s="371"/>
      <c r="BW7" s="371"/>
      <c r="BX7" s="370"/>
      <c r="BY7" s="370"/>
      <c r="BZ7" s="371"/>
      <c r="CA7" s="371"/>
      <c r="CB7" s="370"/>
      <c r="CC7" s="370"/>
      <c r="CD7" s="371"/>
      <c r="CE7" s="371"/>
      <c r="CF7" s="370"/>
      <c r="CG7" s="370"/>
      <c r="CH7" s="371"/>
      <c r="CI7" s="371"/>
      <c r="CJ7" s="370"/>
      <c r="CK7" s="370"/>
      <c r="CL7" s="371"/>
      <c r="CM7" s="371"/>
      <c r="CN7" s="370"/>
      <c r="CO7" s="370"/>
      <c r="CP7" s="371"/>
      <c r="CQ7" s="371"/>
      <c r="CR7" s="370"/>
      <c r="CS7" s="370"/>
      <c r="CT7" s="371"/>
      <c r="CU7" s="371"/>
      <c r="CV7" s="370"/>
      <c r="CW7" s="370"/>
      <c r="CX7" s="371"/>
      <c r="CY7" s="371"/>
      <c r="CZ7" s="370"/>
      <c r="DA7" s="370"/>
      <c r="DB7" s="371"/>
      <c r="DC7" s="371"/>
      <c r="DD7" s="370"/>
      <c r="DE7" s="370"/>
      <c r="DF7" s="371"/>
      <c r="DG7" s="371"/>
      <c r="DH7" s="370"/>
      <c r="DI7" s="370"/>
      <c r="DJ7" s="371"/>
      <c r="DK7" s="371"/>
      <c r="DL7" s="370"/>
      <c r="DM7" s="370"/>
      <c r="DN7" s="371"/>
      <c r="DO7" s="371"/>
      <c r="DP7" s="370"/>
      <c r="DQ7" s="370"/>
      <c r="DR7" s="371"/>
      <c r="DS7" s="371"/>
      <c r="DT7" s="370"/>
      <c r="DU7" s="370"/>
      <c r="DV7" s="371"/>
      <c r="DW7" s="371"/>
      <c r="DX7" s="370"/>
      <c r="DY7" s="370"/>
      <c r="DZ7" s="371"/>
      <c r="EA7" s="371"/>
      <c r="EB7" s="370"/>
      <c r="EC7" s="370"/>
      <c r="ED7" s="371"/>
      <c r="EE7" s="371"/>
      <c r="EF7" s="370"/>
      <c r="EG7" s="370"/>
      <c r="EH7" s="371"/>
      <c r="EI7" s="371"/>
      <c r="EJ7" s="370"/>
      <c r="EK7" s="370"/>
      <c r="EL7" s="371"/>
      <c r="EM7" s="371"/>
      <c r="EN7" s="370"/>
      <c r="EO7" s="370"/>
      <c r="EP7" s="371"/>
      <c r="EQ7" s="371"/>
      <c r="ER7" s="370"/>
      <c r="ES7" s="370"/>
      <c r="ET7" s="371"/>
      <c r="EU7" s="371"/>
      <c r="EV7" s="370"/>
      <c r="EW7" s="370"/>
      <c r="EX7" s="371"/>
      <c r="EY7" s="371"/>
      <c r="EZ7" s="370"/>
      <c r="FA7" s="370"/>
      <c r="FB7" s="371"/>
      <c r="FC7" s="371"/>
      <c r="FD7" s="370"/>
      <c r="FE7" s="370"/>
      <c r="FF7" s="371"/>
      <c r="FG7" s="371"/>
      <c r="FH7" s="370"/>
      <c r="FI7" s="370"/>
      <c r="FJ7" s="371"/>
      <c r="FK7" s="371"/>
      <c r="FL7" s="370"/>
      <c r="FM7" s="370"/>
      <c r="FN7" s="371"/>
      <c r="FO7" s="371"/>
      <c r="FP7" s="370"/>
      <c r="FQ7" s="370"/>
      <c r="FR7" s="371"/>
      <c r="FS7" s="371"/>
      <c r="FT7" s="370"/>
      <c r="FU7" s="370"/>
      <c r="FV7" s="371"/>
      <c r="FW7" s="371"/>
      <c r="FX7" s="370"/>
      <c r="FY7" s="370"/>
      <c r="FZ7" s="371"/>
      <c r="GA7" s="371"/>
      <c r="GB7" s="370"/>
      <c r="GC7" s="370"/>
      <c r="GD7" s="371"/>
      <c r="GE7" s="371"/>
      <c r="GF7" s="370"/>
      <c r="GG7" s="370"/>
      <c r="GH7" s="371"/>
      <c r="GI7" s="371"/>
      <c r="GJ7" s="370"/>
      <c r="GK7" s="370"/>
      <c r="GL7" s="371"/>
      <c r="GM7" s="371"/>
      <c r="GN7" s="370"/>
      <c r="GO7" s="370"/>
      <c r="GP7" s="371"/>
      <c r="GQ7" s="371"/>
      <c r="GR7" s="370"/>
      <c r="GS7" s="370"/>
    </row>
    <row r="8">
      <c r="A8" s="365" t="s">
        <v>240</v>
      </c>
      <c r="B8" s="365"/>
      <c r="C8" s="365"/>
      <c r="D8" s="365"/>
      <c r="E8" s="365"/>
      <c r="F8" s="365"/>
      <c r="G8" s="365"/>
      <c r="H8" s="365"/>
      <c r="I8" s="365"/>
      <c r="J8" s="365"/>
      <c r="K8" s="365"/>
      <c r="L8" s="365"/>
      <c r="M8" s="365"/>
      <c r="N8" s="365"/>
      <c r="O8" s="365"/>
      <c r="P8" s="365"/>
      <c r="Q8" s="365"/>
      <c r="R8" s="365"/>
      <c r="S8" s="365"/>
      <c r="T8" s="365"/>
      <c r="U8" s="365"/>
      <c r="V8" s="365"/>
      <c r="W8" s="365"/>
      <c r="X8" s="365"/>
      <c r="Y8" s="365"/>
      <c r="Z8" s="365"/>
      <c r="AA8" s="365"/>
      <c r="AB8" s="365"/>
      <c r="AC8" s="365"/>
      <c r="AD8" s="365"/>
      <c r="AE8" s="365"/>
      <c r="AF8" s="365"/>
      <c r="AG8" s="365"/>
      <c r="AH8" s="365"/>
      <c r="AI8" s="365"/>
      <c r="AJ8" s="365"/>
      <c r="AK8" s="365"/>
      <c r="AL8" s="365"/>
      <c r="AM8" s="365"/>
      <c r="AN8" s="365"/>
      <c r="AO8" s="365"/>
      <c r="AP8" s="365"/>
      <c r="AQ8" s="365"/>
      <c r="AR8" s="365"/>
      <c r="AS8" s="365"/>
      <c r="AT8" s="365"/>
      <c r="AU8" s="365"/>
      <c r="AV8" s="365"/>
      <c r="AW8" s="365"/>
      <c r="AX8" s="365"/>
      <c r="AY8" s="365"/>
      <c r="AZ8" s="365"/>
      <c r="BA8" s="365"/>
      <c r="BB8" s="365"/>
      <c r="BC8" s="365"/>
      <c r="BD8" s="365"/>
      <c r="BE8" s="365"/>
      <c r="BF8" s="365"/>
      <c r="BG8" s="365"/>
      <c r="BH8" s="365"/>
      <c r="BI8" s="365"/>
      <c r="BJ8" s="365"/>
      <c r="BK8" s="365"/>
      <c r="BL8" s="365"/>
      <c r="BM8" s="365"/>
      <c r="BN8" s="365"/>
      <c r="BO8" s="365"/>
      <c r="BP8" s="365"/>
      <c r="BQ8" s="365"/>
      <c r="BR8" s="365"/>
      <c r="BS8" s="365"/>
      <c r="BT8" s="365"/>
      <c r="BU8" s="365"/>
      <c r="BV8" s="365"/>
      <c r="BW8" s="365"/>
      <c r="BX8" s="365"/>
      <c r="BY8" s="365"/>
      <c r="BZ8" s="365"/>
      <c r="CA8" s="365"/>
      <c r="CB8" s="365"/>
      <c r="CC8" s="365"/>
      <c r="CD8" s="365"/>
      <c r="CE8" s="365"/>
      <c r="CF8" s="365"/>
      <c r="CG8" s="365"/>
      <c r="CH8" s="365"/>
      <c r="CI8" s="365"/>
      <c r="CJ8" s="365"/>
      <c r="CK8" s="365"/>
      <c r="CL8" s="365"/>
      <c r="CM8" s="365"/>
      <c r="CN8" s="365"/>
      <c r="CO8" s="365"/>
      <c r="CP8" s="365"/>
      <c r="CQ8" s="365"/>
      <c r="CR8" s="365"/>
      <c r="CS8" s="365"/>
      <c r="CT8" s="365"/>
      <c r="CU8" s="365"/>
      <c r="CV8" s="365"/>
      <c r="CW8" s="365"/>
      <c r="CX8" s="365"/>
      <c r="CY8" s="365"/>
      <c r="CZ8" s="365"/>
      <c r="DA8" s="365"/>
      <c r="DB8" s="365"/>
      <c r="DC8" s="365"/>
      <c r="DD8" s="365"/>
      <c r="DE8" s="365"/>
      <c r="DF8" s="365"/>
      <c r="DG8" s="365"/>
      <c r="DH8" s="365"/>
      <c r="DI8" s="365"/>
      <c r="DJ8" s="365"/>
      <c r="DK8" s="365"/>
      <c r="DL8" s="365"/>
      <c r="DM8" s="365"/>
      <c r="DN8" s="365"/>
      <c r="DO8" s="365"/>
      <c r="DP8" s="365"/>
      <c r="DQ8" s="365"/>
      <c r="DR8" s="365"/>
      <c r="DS8" s="365"/>
      <c r="DT8" s="365"/>
      <c r="DU8" s="365"/>
      <c r="DV8" s="365"/>
      <c r="DW8" s="365"/>
      <c r="DX8" s="365"/>
      <c r="DY8" s="365"/>
      <c r="DZ8" s="365"/>
      <c r="EA8" s="365"/>
      <c r="EB8" s="365"/>
      <c r="EC8" s="365"/>
      <c r="ED8" s="365"/>
      <c r="EE8" s="365"/>
      <c r="EF8" s="365"/>
      <c r="EG8" s="365"/>
      <c r="EH8" s="365"/>
      <c r="EI8" s="365"/>
      <c r="EJ8" s="365"/>
      <c r="EK8" s="365"/>
      <c r="EL8" s="365"/>
      <c r="EM8" s="365"/>
      <c r="EN8" s="365"/>
      <c r="EO8" s="365"/>
      <c r="EP8" s="365"/>
      <c r="EQ8" s="365"/>
      <c r="ER8" s="365"/>
      <c r="ES8" s="365"/>
      <c r="ET8" s="365"/>
      <c r="EU8" s="365"/>
      <c r="EV8" s="365"/>
      <c r="EW8" s="365"/>
      <c r="EX8" s="365"/>
      <c r="EY8" s="365"/>
      <c r="EZ8" s="365"/>
      <c r="FA8" s="365"/>
      <c r="FB8" s="365"/>
      <c r="FC8" s="365"/>
      <c r="FD8" s="365"/>
      <c r="FE8" s="365"/>
      <c r="FF8" s="365"/>
      <c r="FG8" s="365"/>
      <c r="FH8" s="365"/>
      <c r="FI8" s="365"/>
      <c r="FJ8" s="365"/>
      <c r="FK8" s="365"/>
      <c r="FL8" s="365"/>
      <c r="FM8" s="365"/>
      <c r="FN8" s="365"/>
      <c r="FO8" s="365"/>
      <c r="FP8" s="365"/>
      <c r="FQ8" s="365"/>
      <c r="FR8" s="365"/>
      <c r="FS8" s="365"/>
      <c r="FT8" s="365"/>
      <c r="FU8" s="365"/>
      <c r="FV8" s="365"/>
      <c r="FW8" s="365"/>
      <c r="FX8" s="365"/>
      <c r="FY8" s="365"/>
      <c r="FZ8" s="365"/>
      <c r="GA8" s="365"/>
      <c r="GB8" s="365"/>
      <c r="GC8" s="365"/>
      <c r="GD8" s="365"/>
      <c r="GE8" s="365"/>
      <c r="GF8" s="365"/>
      <c r="GG8" s="365"/>
      <c r="GH8" s="365"/>
      <c r="GI8" s="365"/>
      <c r="GJ8" s="365"/>
      <c r="GK8" s="365"/>
      <c r="GL8" s="365"/>
      <c r="GM8" s="365"/>
      <c r="GN8" s="365"/>
      <c r="GO8" s="365"/>
      <c r="GP8" s="365"/>
      <c r="GQ8" s="365"/>
      <c r="GR8" s="365"/>
      <c r="GS8" s="365"/>
    </row>
    <row r="9">
      <c r="A9" s="380" t="s">
        <v>241</v>
      </c>
      <c r="B9" s="371"/>
      <c r="C9" s="371"/>
      <c r="D9" s="370"/>
      <c r="E9" s="370"/>
      <c r="F9" s="371"/>
      <c r="G9" s="371"/>
      <c r="H9" s="370"/>
      <c r="I9" s="370"/>
      <c r="J9" s="371"/>
      <c r="K9" s="371"/>
      <c r="L9" s="370"/>
      <c r="M9" s="370"/>
      <c r="N9" s="371"/>
      <c r="O9" s="371"/>
      <c r="P9" s="370"/>
      <c r="Q9" s="370"/>
      <c r="R9" s="371"/>
      <c r="S9" s="371"/>
      <c r="T9" s="370"/>
      <c r="U9" s="370"/>
      <c r="V9" s="371"/>
      <c r="W9" s="371"/>
      <c r="X9" s="370"/>
      <c r="Y9" s="370"/>
      <c r="Z9" s="371"/>
      <c r="AA9" s="371"/>
      <c r="AB9" s="370"/>
      <c r="AC9" s="370"/>
      <c r="AD9" s="371"/>
      <c r="AE9" s="371"/>
      <c r="AF9" s="370"/>
      <c r="AG9" s="370"/>
      <c r="AH9" s="371"/>
      <c r="AI9" s="371"/>
      <c r="AJ9" s="370"/>
      <c r="AK9" s="370"/>
      <c r="AL9" s="371"/>
      <c r="AM9" s="371"/>
      <c r="AN9" s="370"/>
      <c r="AO9" s="370"/>
      <c r="AP9" s="371"/>
      <c r="AQ9" s="371"/>
      <c r="AR9" s="370"/>
      <c r="AS9" s="370"/>
      <c r="AT9" s="371"/>
      <c r="AU9" s="371"/>
      <c r="AV9" s="370"/>
      <c r="AW9" s="370"/>
      <c r="AX9" s="371"/>
      <c r="AY9" s="371"/>
      <c r="AZ9" s="370"/>
      <c r="BA9" s="370"/>
      <c r="BB9" s="371"/>
      <c r="BC9" s="371"/>
      <c r="BD9" s="370"/>
      <c r="BE9" s="370"/>
      <c r="BF9" s="371"/>
      <c r="BG9" s="371"/>
      <c r="BH9" s="370"/>
      <c r="BI9" s="370"/>
      <c r="BJ9" s="371"/>
      <c r="BK9" s="371"/>
      <c r="BL9" s="370"/>
      <c r="BM9" s="370"/>
      <c r="BN9" s="371"/>
      <c r="BO9" s="371"/>
      <c r="BP9" s="370"/>
      <c r="BQ9" s="370"/>
      <c r="BR9" s="371"/>
      <c r="BS9" s="371"/>
      <c r="BT9" s="370"/>
      <c r="BU9" s="370"/>
      <c r="BV9" s="371"/>
      <c r="BW9" s="371"/>
      <c r="BX9" s="370"/>
      <c r="BY9" s="370"/>
      <c r="BZ9" s="371"/>
      <c r="CA9" s="371"/>
      <c r="CB9" s="370"/>
      <c r="CC9" s="370"/>
      <c r="CD9" s="371"/>
      <c r="CE9" s="371"/>
      <c r="CF9" s="370"/>
      <c r="CG9" s="370"/>
      <c r="CH9" s="371"/>
      <c r="CI9" s="371"/>
      <c r="CJ9" s="370"/>
      <c r="CK9" s="370"/>
      <c r="CL9" s="371"/>
      <c r="CM9" s="371"/>
      <c r="CN9" s="370"/>
      <c r="CO9" s="370"/>
      <c r="CP9" s="371"/>
      <c r="CQ9" s="371"/>
      <c r="CR9" s="370"/>
      <c r="CS9" s="370"/>
      <c r="CT9" s="371"/>
      <c r="CU9" s="371"/>
      <c r="CV9" s="370"/>
      <c r="CW9" s="370"/>
      <c r="CX9" s="371"/>
      <c r="CY9" s="371"/>
      <c r="CZ9" s="370"/>
      <c r="DA9" s="370"/>
      <c r="DB9" s="371"/>
      <c r="DC9" s="371"/>
      <c r="DD9" s="370"/>
      <c r="DE9" s="370"/>
      <c r="DF9" s="371"/>
      <c r="DG9" s="371"/>
      <c r="DH9" s="370"/>
      <c r="DI9" s="370"/>
      <c r="DJ9" s="371"/>
      <c r="DK9" s="371"/>
      <c r="DL9" s="370"/>
      <c r="DM9" s="370"/>
      <c r="DN9" s="371"/>
      <c r="DO9" s="371"/>
      <c r="DP9" s="370"/>
      <c r="DQ9" s="370"/>
      <c r="DR9" s="371"/>
      <c r="DS9" s="371"/>
      <c r="DT9" s="370"/>
      <c r="DU9" s="370"/>
      <c r="DV9" s="371"/>
      <c r="DW9" s="371"/>
      <c r="DX9" s="370"/>
      <c r="DY9" s="370"/>
      <c r="DZ9" s="371"/>
      <c r="EA9" s="371"/>
      <c r="EB9" s="370"/>
      <c r="EC9" s="370"/>
      <c r="ED9" s="371"/>
      <c r="EE9" s="371"/>
      <c r="EF9" s="370"/>
      <c r="EG9" s="370"/>
      <c r="EH9" s="371"/>
      <c r="EI9" s="371"/>
      <c r="EJ9" s="370"/>
      <c r="EK9" s="370"/>
      <c r="EL9" s="371"/>
      <c r="EM9" s="371"/>
      <c r="EN9" s="370"/>
      <c r="EO9" s="370"/>
      <c r="EP9" s="371"/>
      <c r="EQ9" s="371"/>
      <c r="ER9" s="370"/>
      <c r="ES9" s="370"/>
      <c r="ET9" s="371"/>
      <c r="EU9" s="371"/>
      <c r="EV9" s="370"/>
      <c r="EW9" s="370"/>
      <c r="EX9" s="371"/>
      <c r="EY9" s="371"/>
      <c r="EZ9" s="370"/>
      <c r="FA9" s="370"/>
      <c r="FB9" s="371"/>
      <c r="FC9" s="371"/>
      <c r="FD9" s="370"/>
      <c r="FE9" s="370"/>
      <c r="FF9" s="371"/>
      <c r="FG9" s="371"/>
      <c r="FH9" s="370"/>
      <c r="FI9" s="370"/>
      <c r="FJ9" s="371"/>
      <c r="FK9" s="371"/>
      <c r="FL9" s="370"/>
      <c r="FM9" s="370"/>
      <c r="FN9" s="371"/>
      <c r="FO9" s="371"/>
      <c r="FP9" s="370"/>
      <c r="FQ9" s="370"/>
      <c r="FR9" s="371"/>
      <c r="FS9" s="371"/>
      <c r="FT9" s="370"/>
      <c r="FU9" s="370"/>
      <c r="FV9" s="371"/>
      <c r="FW9" s="371"/>
      <c r="FX9" s="370"/>
      <c r="FY9" s="370"/>
      <c r="FZ9" s="371"/>
      <c r="GA9" s="371"/>
      <c r="GB9" s="370"/>
      <c r="GC9" s="370"/>
      <c r="GD9" s="371"/>
      <c r="GE9" s="371"/>
      <c r="GF9" s="370"/>
      <c r="GG9" s="370"/>
      <c r="GH9" s="371"/>
      <c r="GI9" s="371"/>
      <c r="GJ9" s="370"/>
      <c r="GK9" s="370"/>
      <c r="GL9" s="371"/>
      <c r="GM9" s="371"/>
      <c r="GN9" s="370"/>
      <c r="GO9" s="370"/>
      <c r="GP9" s="371"/>
      <c r="GQ9" s="371"/>
      <c r="GR9" s="370"/>
      <c r="GS9" s="370"/>
    </row>
    <row r="10">
      <c r="A10" s="380" t="s">
        <v>242</v>
      </c>
      <c r="B10" s="371"/>
      <c r="C10" s="371"/>
      <c r="D10" s="370"/>
      <c r="E10" s="370"/>
      <c r="F10" s="371"/>
      <c r="G10" s="371"/>
      <c r="H10" s="370"/>
      <c r="I10" s="370"/>
      <c r="J10" s="371"/>
      <c r="K10" s="371"/>
      <c r="L10" s="370"/>
      <c r="M10" s="370"/>
      <c r="N10" s="371"/>
      <c r="O10" s="371"/>
      <c r="P10" s="370"/>
      <c r="Q10" s="370"/>
      <c r="R10" s="371"/>
      <c r="S10" s="371"/>
      <c r="T10" s="370"/>
      <c r="U10" s="370"/>
      <c r="V10" s="371"/>
      <c r="W10" s="371"/>
      <c r="X10" s="370"/>
      <c r="Y10" s="370"/>
      <c r="Z10" s="371"/>
      <c r="AA10" s="371"/>
      <c r="AB10" s="370"/>
      <c r="AC10" s="370"/>
      <c r="AD10" s="371"/>
      <c r="AE10" s="371"/>
      <c r="AF10" s="370"/>
      <c r="AG10" s="370"/>
      <c r="AH10" s="371"/>
      <c r="AI10" s="371"/>
      <c r="AJ10" s="370"/>
      <c r="AK10" s="370"/>
      <c r="AL10" s="371"/>
      <c r="AM10" s="371"/>
      <c r="AN10" s="370"/>
      <c r="AO10" s="370"/>
      <c r="AP10" s="371"/>
      <c r="AQ10" s="371"/>
      <c r="AR10" s="370"/>
      <c r="AS10" s="370"/>
      <c r="AT10" s="371"/>
      <c r="AU10" s="371"/>
      <c r="AV10" s="370"/>
      <c r="AW10" s="370"/>
      <c r="AX10" s="371"/>
      <c r="AY10" s="371"/>
      <c r="AZ10" s="370"/>
      <c r="BA10" s="370"/>
      <c r="BB10" s="371"/>
      <c r="BC10" s="371"/>
      <c r="BD10" s="370"/>
      <c r="BE10" s="370"/>
      <c r="BF10" s="371"/>
      <c r="BG10" s="371"/>
      <c r="BH10" s="370"/>
      <c r="BI10" s="370"/>
      <c r="BJ10" s="371"/>
      <c r="BK10" s="371"/>
      <c r="BL10" s="370"/>
      <c r="BM10" s="370"/>
      <c r="BN10" s="371"/>
      <c r="BO10" s="371"/>
      <c r="BP10" s="370"/>
      <c r="BQ10" s="370"/>
      <c r="BR10" s="371"/>
      <c r="BS10" s="371"/>
      <c r="BT10" s="370"/>
      <c r="BU10" s="370"/>
      <c r="BV10" s="371"/>
      <c r="BW10" s="371"/>
      <c r="BX10" s="370"/>
      <c r="BY10" s="370"/>
      <c r="BZ10" s="371"/>
      <c r="CA10" s="371"/>
      <c r="CB10" s="370"/>
      <c r="CC10" s="370"/>
      <c r="CD10" s="371"/>
      <c r="CE10" s="371"/>
      <c r="CF10" s="370"/>
      <c r="CG10" s="370"/>
      <c r="CH10" s="371"/>
      <c r="CI10" s="371"/>
      <c r="CJ10" s="370"/>
      <c r="CK10" s="370"/>
      <c r="CL10" s="371"/>
      <c r="CM10" s="371"/>
      <c r="CN10" s="370"/>
      <c r="CO10" s="370"/>
      <c r="CP10" s="371"/>
      <c r="CQ10" s="371"/>
      <c r="CR10" s="370"/>
      <c r="CS10" s="370"/>
      <c r="CT10" s="371"/>
      <c r="CU10" s="371"/>
      <c r="CV10" s="370"/>
      <c r="CW10" s="370"/>
      <c r="CX10" s="371"/>
      <c r="CY10" s="371"/>
      <c r="CZ10" s="370"/>
      <c r="DA10" s="370"/>
      <c r="DB10" s="371"/>
      <c r="DC10" s="371"/>
      <c r="DD10" s="370"/>
      <c r="DE10" s="370"/>
      <c r="DF10" s="371"/>
      <c r="DG10" s="371"/>
      <c r="DH10" s="370"/>
      <c r="DI10" s="370"/>
      <c r="DJ10" s="371"/>
      <c r="DK10" s="371"/>
      <c r="DL10" s="370"/>
      <c r="DM10" s="370"/>
      <c r="DN10" s="371"/>
      <c r="DO10" s="371"/>
      <c r="DP10" s="370"/>
      <c r="DQ10" s="370"/>
      <c r="DR10" s="371"/>
      <c r="DS10" s="371"/>
      <c r="DT10" s="370"/>
      <c r="DU10" s="370"/>
      <c r="DV10" s="371"/>
      <c r="DW10" s="371"/>
      <c r="DX10" s="370"/>
      <c r="DY10" s="370"/>
      <c r="DZ10" s="371"/>
      <c r="EA10" s="371"/>
      <c r="EB10" s="370"/>
      <c r="EC10" s="370"/>
      <c r="ED10" s="371"/>
      <c r="EE10" s="371"/>
      <c r="EF10" s="370"/>
      <c r="EG10" s="370"/>
      <c r="EH10" s="371"/>
      <c r="EI10" s="371"/>
      <c r="EJ10" s="370"/>
      <c r="EK10" s="370"/>
      <c r="EL10" s="371"/>
      <c r="EM10" s="371"/>
      <c r="EN10" s="370"/>
      <c r="EO10" s="370"/>
      <c r="EP10" s="371"/>
      <c r="EQ10" s="371"/>
      <c r="ER10" s="370"/>
      <c r="ES10" s="370"/>
      <c r="ET10" s="371"/>
      <c r="EU10" s="371"/>
      <c r="EV10" s="370"/>
      <c r="EW10" s="370"/>
      <c r="EX10" s="371"/>
      <c r="EY10" s="371"/>
      <c r="EZ10" s="370"/>
      <c r="FA10" s="370"/>
      <c r="FB10" s="371"/>
      <c r="FC10" s="371"/>
      <c r="FD10" s="370"/>
      <c r="FE10" s="370"/>
      <c r="FF10" s="371"/>
      <c r="FG10" s="371"/>
      <c r="FH10" s="370"/>
      <c r="FI10" s="370"/>
      <c r="FJ10" s="371"/>
      <c r="FK10" s="371"/>
      <c r="FL10" s="370"/>
      <c r="FM10" s="370"/>
      <c r="FN10" s="371"/>
      <c r="FO10" s="371"/>
      <c r="FP10" s="370"/>
      <c r="FQ10" s="370"/>
      <c r="FR10" s="371"/>
      <c r="FS10" s="371"/>
      <c r="FT10" s="370"/>
      <c r="FU10" s="370"/>
      <c r="FV10" s="371"/>
      <c r="FW10" s="371"/>
      <c r="FX10" s="370"/>
      <c r="FY10" s="370"/>
      <c r="FZ10" s="371"/>
      <c r="GA10" s="371"/>
      <c r="GB10" s="370"/>
      <c r="GC10" s="370"/>
      <c r="GD10" s="371"/>
      <c r="GE10" s="371"/>
      <c r="GF10" s="370"/>
      <c r="GG10" s="370"/>
      <c r="GH10" s="371"/>
      <c r="GI10" s="371"/>
      <c r="GJ10" s="370"/>
      <c r="GK10" s="370"/>
      <c r="GL10" s="371"/>
      <c r="GM10" s="371"/>
      <c r="GN10" s="370"/>
      <c r="GO10" s="370"/>
      <c r="GP10" s="371"/>
      <c r="GQ10" s="371"/>
      <c r="GR10" s="370"/>
      <c r="GS10" s="370"/>
    </row>
    <row r="11">
      <c r="A11" s="380" t="s">
        <v>243</v>
      </c>
      <c r="B11" s="371"/>
      <c r="C11" s="371"/>
      <c r="D11" s="370"/>
      <c r="E11" s="370"/>
      <c r="F11" s="371"/>
      <c r="G11" s="371"/>
      <c r="H11" s="370"/>
      <c r="I11" s="370"/>
      <c r="J11" s="371"/>
      <c r="K11" s="371"/>
      <c r="L11" s="370"/>
      <c r="M11" s="370"/>
      <c r="N11" s="371"/>
      <c r="O11" s="371"/>
      <c r="P11" s="370"/>
      <c r="Q11" s="370"/>
      <c r="R11" s="371"/>
      <c r="S11" s="371"/>
      <c r="T11" s="370"/>
      <c r="U11" s="370"/>
      <c r="V11" s="371"/>
      <c r="W11" s="371"/>
      <c r="X11" s="370"/>
      <c r="Y11" s="370"/>
      <c r="Z11" s="371"/>
      <c r="AA11" s="371"/>
      <c r="AB11" s="370"/>
      <c r="AC11" s="370"/>
      <c r="AD11" s="371"/>
      <c r="AE11" s="371"/>
      <c r="AF11" s="370"/>
      <c r="AG11" s="370"/>
      <c r="AH11" s="371"/>
      <c r="AI11" s="371"/>
      <c r="AJ11" s="370"/>
      <c r="AK11" s="370"/>
      <c r="AL11" s="371"/>
      <c r="AM11" s="371"/>
      <c r="AN11" s="370"/>
      <c r="AO11" s="370"/>
      <c r="AP11" s="371"/>
      <c r="AQ11" s="371"/>
      <c r="AR11" s="370"/>
      <c r="AS11" s="370"/>
      <c r="AT11" s="371"/>
      <c r="AU11" s="371"/>
      <c r="AV11" s="370"/>
      <c r="AW11" s="370"/>
      <c r="AX11" s="371"/>
      <c r="AY11" s="371"/>
      <c r="AZ11" s="370"/>
      <c r="BA11" s="370"/>
      <c r="BB11" s="371"/>
      <c r="BC11" s="371"/>
      <c r="BD11" s="370"/>
      <c r="BE11" s="370"/>
      <c r="BF11" s="371"/>
      <c r="BG11" s="371"/>
      <c r="BH11" s="370"/>
      <c r="BI11" s="370"/>
      <c r="BJ11" s="371"/>
      <c r="BK11" s="371"/>
      <c r="BL11" s="370"/>
      <c r="BM11" s="370"/>
      <c r="BN11" s="371"/>
      <c r="BO11" s="371"/>
      <c r="BP11" s="370"/>
      <c r="BQ11" s="370"/>
      <c r="BR11" s="371"/>
      <c r="BS11" s="371"/>
      <c r="BT11" s="370"/>
      <c r="BU11" s="370"/>
      <c r="BV11" s="371"/>
      <c r="BW11" s="371"/>
      <c r="BX11" s="370"/>
      <c r="BY11" s="370"/>
      <c r="BZ11" s="371"/>
      <c r="CA11" s="371"/>
      <c r="CB11" s="370"/>
      <c r="CC11" s="370"/>
      <c r="CD11" s="371"/>
      <c r="CE11" s="371"/>
      <c r="CF11" s="370"/>
      <c r="CG11" s="370"/>
      <c r="CH11" s="371"/>
      <c r="CI11" s="371"/>
      <c r="CJ11" s="370"/>
      <c r="CK11" s="370"/>
      <c r="CL11" s="371"/>
      <c r="CM11" s="371"/>
      <c r="CN11" s="370"/>
      <c r="CO11" s="370"/>
      <c r="CP11" s="371"/>
      <c r="CQ11" s="371"/>
      <c r="CR11" s="370"/>
      <c r="CS11" s="370"/>
      <c r="CT11" s="371"/>
      <c r="CU11" s="371"/>
      <c r="CV11" s="370"/>
      <c r="CW11" s="370"/>
      <c r="CX11" s="371"/>
      <c r="CY11" s="371"/>
      <c r="CZ11" s="370"/>
      <c r="DA11" s="370"/>
      <c r="DB11" s="371"/>
      <c r="DC11" s="371"/>
      <c r="DD11" s="370"/>
      <c r="DE11" s="370"/>
      <c r="DF11" s="371"/>
      <c r="DG11" s="371"/>
      <c r="DH11" s="370"/>
      <c r="DI11" s="370"/>
      <c r="DJ11" s="371"/>
      <c r="DK11" s="371"/>
      <c r="DL11" s="370"/>
      <c r="DM11" s="370"/>
      <c r="DN11" s="371"/>
      <c r="DO11" s="371"/>
      <c r="DP11" s="370"/>
      <c r="DQ11" s="370"/>
      <c r="DR11" s="371"/>
      <c r="DS11" s="371"/>
      <c r="DT11" s="370"/>
      <c r="DU11" s="370"/>
      <c r="DV11" s="371"/>
      <c r="DW11" s="371"/>
      <c r="DX11" s="370"/>
      <c r="DY11" s="370"/>
      <c r="DZ11" s="371"/>
      <c r="EA11" s="371"/>
      <c r="EB11" s="370"/>
      <c r="EC11" s="370"/>
      <c r="ED11" s="371"/>
      <c r="EE11" s="371"/>
      <c r="EF11" s="370"/>
      <c r="EG11" s="370"/>
      <c r="EH11" s="371"/>
      <c r="EI11" s="371"/>
      <c r="EJ11" s="370"/>
      <c r="EK11" s="370"/>
      <c r="EL11" s="371"/>
      <c r="EM11" s="371"/>
      <c r="EN11" s="370"/>
      <c r="EO11" s="370"/>
      <c r="EP11" s="371"/>
      <c r="EQ11" s="371"/>
      <c r="ER11" s="370"/>
      <c r="ES11" s="370"/>
      <c r="ET11" s="371"/>
      <c r="EU11" s="371"/>
      <c r="EV11" s="370"/>
      <c r="EW11" s="370"/>
      <c r="EX11" s="371"/>
      <c r="EY11" s="371"/>
      <c r="EZ11" s="370"/>
      <c r="FA11" s="370"/>
      <c r="FB11" s="371"/>
      <c r="FC11" s="371"/>
      <c r="FD11" s="370"/>
      <c r="FE11" s="370"/>
      <c r="FF11" s="371"/>
      <c r="FG11" s="371"/>
      <c r="FH11" s="370"/>
      <c r="FI11" s="370"/>
      <c r="FJ11" s="371"/>
      <c r="FK11" s="371"/>
      <c r="FL11" s="370"/>
      <c r="FM11" s="370"/>
      <c r="FN11" s="371"/>
      <c r="FO11" s="371"/>
      <c r="FP11" s="370"/>
      <c r="FQ11" s="370"/>
      <c r="FR11" s="371"/>
      <c r="FS11" s="371"/>
      <c r="FT11" s="370"/>
      <c r="FU11" s="370"/>
      <c r="FV11" s="371"/>
      <c r="FW11" s="371"/>
      <c r="FX11" s="370"/>
      <c r="FY11" s="370"/>
      <c r="FZ11" s="371"/>
      <c r="GA11" s="371"/>
      <c r="GB11" s="370"/>
      <c r="GC11" s="370"/>
      <c r="GD11" s="371"/>
      <c r="GE11" s="371"/>
      <c r="GF11" s="370"/>
      <c r="GG11" s="370"/>
      <c r="GH11" s="371"/>
      <c r="GI11" s="371"/>
      <c r="GJ11" s="370"/>
      <c r="GK11" s="370"/>
      <c r="GL11" s="371"/>
      <c r="GM11" s="371"/>
      <c r="GN11" s="370"/>
      <c r="GO11" s="370"/>
      <c r="GP11" s="371"/>
      <c r="GQ11" s="371"/>
      <c r="GR11" s="370"/>
      <c r="GS11" s="370"/>
    </row>
    <row r="12">
      <c r="A12" s="365" t="s">
        <v>183</v>
      </c>
      <c r="B12" s="365"/>
      <c r="C12" s="365"/>
      <c r="D12" s="365"/>
      <c r="E12" s="365"/>
      <c r="F12" s="365"/>
      <c r="G12" s="365"/>
      <c r="H12" s="365"/>
      <c r="I12" s="365"/>
      <c r="J12" s="365"/>
      <c r="K12" s="365"/>
      <c r="L12" s="365"/>
      <c r="M12" s="365"/>
      <c r="N12" s="365"/>
      <c r="O12" s="365"/>
      <c r="P12" s="365"/>
      <c r="Q12" s="365"/>
      <c r="R12" s="365"/>
      <c r="S12" s="365"/>
      <c r="T12" s="365"/>
      <c r="U12" s="365"/>
      <c r="V12" s="365"/>
      <c r="W12" s="365"/>
      <c r="X12" s="365"/>
      <c r="Y12" s="365"/>
      <c r="Z12" s="365"/>
      <c r="AA12" s="365"/>
      <c r="AB12" s="365"/>
      <c r="AC12" s="365"/>
      <c r="AD12" s="365"/>
      <c r="AE12" s="365"/>
      <c r="AF12" s="365"/>
      <c r="AG12" s="365"/>
      <c r="AH12" s="365"/>
      <c r="AI12" s="365"/>
      <c r="AJ12" s="365"/>
      <c r="AK12" s="365"/>
      <c r="AL12" s="365"/>
      <c r="AM12" s="365"/>
      <c r="AN12" s="365"/>
      <c r="AO12" s="365"/>
      <c r="AP12" s="365"/>
      <c r="AQ12" s="365"/>
      <c r="AR12" s="365"/>
      <c r="AS12" s="365"/>
      <c r="AT12" s="365"/>
      <c r="AU12" s="365"/>
      <c r="AV12" s="365"/>
      <c r="AW12" s="365"/>
      <c r="AX12" s="365"/>
      <c r="AY12" s="365"/>
      <c r="AZ12" s="365"/>
      <c r="BA12" s="365"/>
      <c r="BB12" s="365"/>
      <c r="BC12" s="365"/>
      <c r="BD12" s="365"/>
      <c r="BE12" s="365"/>
      <c r="BF12" s="365"/>
      <c r="BG12" s="365"/>
      <c r="BH12" s="365"/>
      <c r="BI12" s="365"/>
      <c r="BJ12" s="365"/>
      <c r="BK12" s="365"/>
      <c r="BL12" s="365"/>
      <c r="BM12" s="365"/>
      <c r="BN12" s="365"/>
      <c r="BO12" s="365"/>
      <c r="BP12" s="365"/>
      <c r="BQ12" s="365"/>
      <c r="BR12" s="365"/>
      <c r="BS12" s="365"/>
      <c r="BT12" s="365"/>
      <c r="BU12" s="365"/>
      <c r="BV12" s="365"/>
      <c r="BW12" s="365"/>
      <c r="BX12" s="365"/>
      <c r="BY12" s="365"/>
      <c r="BZ12" s="365"/>
      <c r="CA12" s="365"/>
      <c r="CB12" s="365"/>
      <c r="CC12" s="365"/>
      <c r="CD12" s="365"/>
      <c r="CE12" s="365"/>
      <c r="CF12" s="365"/>
      <c r="CG12" s="365"/>
      <c r="CH12" s="365"/>
      <c r="CI12" s="365"/>
      <c r="CJ12" s="365"/>
      <c r="CK12" s="365"/>
      <c r="CL12" s="365"/>
      <c r="CM12" s="365"/>
      <c r="CN12" s="365"/>
      <c r="CO12" s="365"/>
      <c r="CP12" s="365"/>
      <c r="CQ12" s="365"/>
      <c r="CR12" s="365"/>
      <c r="CS12" s="365"/>
      <c r="CT12" s="365"/>
      <c r="CU12" s="365"/>
      <c r="CV12" s="365"/>
      <c r="CW12" s="365"/>
      <c r="CX12" s="365"/>
      <c r="CY12" s="365"/>
      <c r="CZ12" s="365"/>
      <c r="DA12" s="365"/>
      <c r="DB12" s="365"/>
      <c r="DC12" s="365"/>
      <c r="DD12" s="365"/>
      <c r="DE12" s="365"/>
      <c r="DF12" s="365"/>
      <c r="DG12" s="365"/>
      <c r="DH12" s="365"/>
      <c r="DI12" s="365"/>
      <c r="DJ12" s="365"/>
      <c r="DK12" s="365"/>
      <c r="DL12" s="365"/>
      <c r="DM12" s="365"/>
      <c r="DN12" s="365"/>
      <c r="DO12" s="365"/>
      <c r="DP12" s="365"/>
      <c r="DQ12" s="365"/>
      <c r="DR12" s="365"/>
      <c r="DS12" s="365"/>
      <c r="DT12" s="365"/>
      <c r="DU12" s="365"/>
      <c r="DV12" s="365"/>
      <c r="DW12" s="365"/>
      <c r="DX12" s="365"/>
      <c r="DY12" s="365"/>
      <c r="DZ12" s="365"/>
      <c r="EA12" s="365"/>
      <c r="EB12" s="365"/>
      <c r="EC12" s="365"/>
      <c r="ED12" s="365"/>
      <c r="EE12" s="365"/>
      <c r="EF12" s="365"/>
      <c r="EG12" s="365"/>
      <c r="EH12" s="365"/>
      <c r="EI12" s="365"/>
      <c r="EJ12" s="365"/>
      <c r="EK12" s="365"/>
      <c r="EL12" s="365"/>
      <c r="EM12" s="365"/>
      <c r="EN12" s="365"/>
      <c r="EO12" s="365"/>
      <c r="EP12" s="365"/>
      <c r="EQ12" s="365"/>
      <c r="ER12" s="365"/>
      <c r="ES12" s="365"/>
      <c r="ET12" s="365"/>
      <c r="EU12" s="365"/>
      <c r="EV12" s="365"/>
      <c r="EW12" s="365"/>
      <c r="EX12" s="365"/>
      <c r="EY12" s="365"/>
      <c r="EZ12" s="365"/>
      <c r="FA12" s="365"/>
      <c r="FB12" s="365"/>
      <c r="FC12" s="365"/>
      <c r="FD12" s="365"/>
      <c r="FE12" s="365"/>
      <c r="FF12" s="365"/>
      <c r="FG12" s="365"/>
      <c r="FH12" s="365"/>
      <c r="FI12" s="365"/>
      <c r="FJ12" s="365"/>
      <c r="FK12" s="365"/>
      <c r="FL12" s="365"/>
      <c r="FM12" s="365"/>
      <c r="FN12" s="365"/>
      <c r="FO12" s="365"/>
      <c r="FP12" s="365"/>
      <c r="FQ12" s="365"/>
      <c r="FR12" s="365"/>
      <c r="FS12" s="365"/>
      <c r="FT12" s="365"/>
      <c r="FU12" s="365"/>
      <c r="FV12" s="365"/>
      <c r="FW12" s="365"/>
      <c r="FX12" s="365"/>
      <c r="FY12" s="365"/>
      <c r="FZ12" s="365"/>
      <c r="GA12" s="365"/>
      <c r="GB12" s="365"/>
      <c r="GC12" s="365"/>
      <c r="GD12" s="365"/>
      <c r="GE12" s="365"/>
      <c r="GF12" s="365"/>
      <c r="GG12" s="365"/>
      <c r="GH12" s="365"/>
      <c r="GI12" s="365"/>
      <c r="GJ12" s="365"/>
      <c r="GK12" s="365"/>
      <c r="GL12" s="365"/>
      <c r="GM12" s="365"/>
      <c r="GN12" s="365"/>
      <c r="GO12" s="365"/>
      <c r="GP12" s="365"/>
      <c r="GQ12" s="365"/>
      <c r="GR12" s="365"/>
      <c r="GS12" s="365"/>
    </row>
    <row r="13">
      <c r="A13" s="380" t="s">
        <v>244</v>
      </c>
      <c r="B13" s="371"/>
      <c r="C13" s="371"/>
      <c r="D13" s="370"/>
      <c r="E13" s="370"/>
      <c r="F13" s="371"/>
      <c r="G13" s="371"/>
      <c r="H13" s="370"/>
      <c r="I13" s="370"/>
      <c r="J13" s="371"/>
      <c r="K13" s="371"/>
      <c r="L13" s="370"/>
      <c r="M13" s="370"/>
      <c r="N13" s="371"/>
      <c r="O13" s="371"/>
      <c r="P13" s="370"/>
      <c r="Q13" s="370"/>
      <c r="R13" s="371"/>
      <c r="S13" s="371"/>
      <c r="T13" s="370"/>
      <c r="U13" s="370"/>
      <c r="V13" s="371"/>
      <c r="W13" s="371"/>
      <c r="X13" s="370"/>
      <c r="Y13" s="370"/>
      <c r="Z13" s="371"/>
      <c r="AA13" s="371"/>
      <c r="AB13" s="370"/>
      <c r="AC13" s="370"/>
      <c r="AD13" s="371"/>
      <c r="AE13" s="371"/>
      <c r="AF13" s="370"/>
      <c r="AG13" s="370"/>
      <c r="AH13" s="371"/>
      <c r="AI13" s="371"/>
      <c r="AJ13" s="370"/>
      <c r="AK13" s="370"/>
      <c r="AL13" s="371"/>
      <c r="AM13" s="371"/>
      <c r="AN13" s="370"/>
      <c r="AO13" s="370"/>
      <c r="AP13" s="371"/>
      <c r="AQ13" s="371"/>
      <c r="AR13" s="370"/>
      <c r="AS13" s="370"/>
      <c r="AT13" s="371"/>
      <c r="AU13" s="371"/>
      <c r="AV13" s="370"/>
      <c r="AW13" s="370"/>
      <c r="AX13" s="371"/>
      <c r="AY13" s="371"/>
      <c r="AZ13" s="370"/>
      <c r="BA13" s="370"/>
      <c r="BB13" s="371"/>
      <c r="BC13" s="371"/>
      <c r="BD13" s="370"/>
      <c r="BE13" s="370"/>
      <c r="BF13" s="371"/>
      <c r="BG13" s="371"/>
      <c r="BH13" s="370"/>
      <c r="BI13" s="370"/>
      <c r="BJ13" s="371"/>
      <c r="BK13" s="371"/>
      <c r="BL13" s="370"/>
      <c r="BM13" s="370"/>
      <c r="BN13" s="371"/>
      <c r="BO13" s="371"/>
      <c r="BP13" s="370"/>
      <c r="BQ13" s="370"/>
      <c r="BR13" s="371"/>
      <c r="BS13" s="371"/>
      <c r="BT13" s="370"/>
      <c r="BU13" s="370"/>
      <c r="BV13" s="371"/>
      <c r="BW13" s="371"/>
      <c r="BX13" s="370"/>
      <c r="BY13" s="370"/>
      <c r="BZ13" s="371"/>
      <c r="CA13" s="371"/>
      <c r="CB13" s="370"/>
      <c r="CC13" s="370"/>
      <c r="CD13" s="371"/>
      <c r="CE13" s="371"/>
      <c r="CF13" s="370"/>
      <c r="CG13" s="370"/>
      <c r="CH13" s="371"/>
      <c r="CI13" s="371"/>
      <c r="CJ13" s="370"/>
      <c r="CK13" s="370"/>
      <c r="CL13" s="371"/>
      <c r="CM13" s="371"/>
      <c r="CN13" s="370"/>
      <c r="CO13" s="370"/>
      <c r="CP13" s="371"/>
      <c r="CQ13" s="371"/>
      <c r="CR13" s="370"/>
      <c r="CS13" s="370"/>
      <c r="CT13" s="371"/>
      <c r="CU13" s="371"/>
      <c r="CV13" s="370"/>
      <c r="CW13" s="370"/>
      <c r="CX13" s="371"/>
      <c r="CY13" s="371"/>
      <c r="CZ13" s="370"/>
      <c r="DA13" s="370"/>
      <c r="DB13" s="371"/>
      <c r="DC13" s="371"/>
      <c r="DD13" s="370"/>
      <c r="DE13" s="370"/>
      <c r="DF13" s="371"/>
      <c r="DG13" s="371"/>
      <c r="DH13" s="370"/>
      <c r="DI13" s="370"/>
      <c r="DJ13" s="371"/>
      <c r="DK13" s="371"/>
      <c r="DL13" s="370"/>
      <c r="DM13" s="370"/>
      <c r="DN13" s="371"/>
      <c r="DO13" s="371"/>
      <c r="DP13" s="370"/>
      <c r="DQ13" s="370"/>
      <c r="DR13" s="371"/>
      <c r="DS13" s="371"/>
      <c r="DT13" s="370"/>
      <c r="DU13" s="370"/>
      <c r="DV13" s="371"/>
      <c r="DW13" s="371"/>
      <c r="DX13" s="370"/>
      <c r="DY13" s="370"/>
      <c r="DZ13" s="371"/>
      <c r="EA13" s="371"/>
      <c r="EB13" s="370"/>
      <c r="EC13" s="370"/>
      <c r="ED13" s="371"/>
      <c r="EE13" s="371"/>
      <c r="EF13" s="370"/>
      <c r="EG13" s="370"/>
      <c r="EH13" s="371"/>
      <c r="EI13" s="371"/>
      <c r="EJ13" s="370"/>
      <c r="EK13" s="370"/>
      <c r="EL13" s="371"/>
      <c r="EM13" s="371"/>
      <c r="EN13" s="370"/>
      <c r="EO13" s="370"/>
      <c r="EP13" s="371"/>
      <c r="EQ13" s="371"/>
      <c r="ER13" s="370"/>
      <c r="ES13" s="370"/>
      <c r="ET13" s="371"/>
      <c r="EU13" s="371"/>
      <c r="EV13" s="370"/>
      <c r="EW13" s="370"/>
      <c r="EX13" s="371"/>
      <c r="EY13" s="371"/>
      <c r="EZ13" s="370"/>
      <c r="FA13" s="370"/>
      <c r="FB13" s="371"/>
      <c r="FC13" s="371"/>
      <c r="FD13" s="370"/>
      <c r="FE13" s="370"/>
      <c r="FF13" s="371"/>
      <c r="FG13" s="371"/>
      <c r="FH13" s="370"/>
      <c r="FI13" s="370"/>
      <c r="FJ13" s="371"/>
      <c r="FK13" s="371"/>
      <c r="FL13" s="370"/>
      <c r="FM13" s="370"/>
      <c r="FN13" s="371"/>
      <c r="FO13" s="371"/>
      <c r="FP13" s="370"/>
      <c r="FQ13" s="370"/>
      <c r="FR13" s="371"/>
      <c r="FS13" s="371"/>
      <c r="FT13" s="370"/>
      <c r="FU13" s="370"/>
      <c r="FV13" s="371"/>
      <c r="FW13" s="371"/>
      <c r="FX13" s="370"/>
      <c r="FY13" s="370"/>
      <c r="FZ13" s="371"/>
      <c r="GA13" s="371"/>
      <c r="GB13" s="370"/>
      <c r="GC13" s="370"/>
      <c r="GD13" s="371"/>
      <c r="GE13" s="371"/>
      <c r="GF13" s="370"/>
      <c r="GG13" s="370"/>
      <c r="GH13" s="371"/>
      <c r="GI13" s="371"/>
      <c r="GJ13" s="370"/>
      <c r="GK13" s="370"/>
      <c r="GL13" s="371"/>
      <c r="GM13" s="371"/>
      <c r="GN13" s="370"/>
      <c r="GO13" s="370"/>
      <c r="GP13" s="371"/>
      <c r="GQ13" s="371"/>
      <c r="GR13" s="370"/>
      <c r="GS13" s="370"/>
    </row>
    <row r="14">
      <c r="A14" s="380" t="s">
        <v>245</v>
      </c>
      <c r="B14" s="371"/>
      <c r="C14" s="371"/>
      <c r="D14" s="370"/>
      <c r="E14" s="370"/>
      <c r="F14" s="371"/>
      <c r="G14" s="371"/>
      <c r="H14" s="370"/>
      <c r="I14" s="370"/>
      <c r="J14" s="371"/>
      <c r="K14" s="371"/>
      <c r="L14" s="370"/>
      <c r="M14" s="370"/>
      <c r="N14" s="371"/>
      <c r="O14" s="371"/>
      <c r="P14" s="370"/>
      <c r="Q14" s="370"/>
      <c r="R14" s="371"/>
      <c r="S14" s="371"/>
      <c r="T14" s="370"/>
      <c r="U14" s="370"/>
      <c r="V14" s="371"/>
      <c r="W14" s="371"/>
      <c r="X14" s="370"/>
      <c r="Y14" s="370"/>
      <c r="Z14" s="371"/>
      <c r="AA14" s="371"/>
      <c r="AB14" s="370"/>
      <c r="AC14" s="370"/>
      <c r="AD14" s="371"/>
      <c r="AE14" s="371"/>
      <c r="AF14" s="370"/>
      <c r="AG14" s="370"/>
      <c r="AH14" s="371"/>
      <c r="AI14" s="371"/>
      <c r="AJ14" s="370"/>
      <c r="AK14" s="370"/>
      <c r="AL14" s="371"/>
      <c r="AM14" s="371"/>
      <c r="AN14" s="370"/>
      <c r="AO14" s="370"/>
      <c r="AP14" s="371"/>
      <c r="AQ14" s="371"/>
      <c r="AR14" s="370"/>
      <c r="AS14" s="370"/>
      <c r="AT14" s="371"/>
      <c r="AU14" s="371"/>
      <c r="AV14" s="370"/>
      <c r="AW14" s="370"/>
      <c r="AX14" s="371"/>
      <c r="AY14" s="371"/>
      <c r="AZ14" s="370"/>
      <c r="BA14" s="370"/>
      <c r="BB14" s="371"/>
      <c r="BC14" s="371"/>
      <c r="BD14" s="370"/>
      <c r="BE14" s="370"/>
      <c r="BF14" s="371"/>
      <c r="BG14" s="371"/>
      <c r="BH14" s="370"/>
      <c r="BI14" s="370"/>
      <c r="BJ14" s="371"/>
      <c r="BK14" s="371"/>
      <c r="BL14" s="370"/>
      <c r="BM14" s="370"/>
      <c r="BN14" s="371"/>
      <c r="BO14" s="371"/>
      <c r="BP14" s="370"/>
      <c r="BQ14" s="370"/>
      <c r="BR14" s="371"/>
      <c r="BS14" s="371"/>
      <c r="BT14" s="370"/>
      <c r="BU14" s="370"/>
      <c r="BV14" s="371"/>
      <c r="BW14" s="371"/>
      <c r="BX14" s="370"/>
      <c r="BY14" s="370"/>
      <c r="BZ14" s="371"/>
      <c r="CA14" s="371"/>
      <c r="CB14" s="370"/>
      <c r="CC14" s="370"/>
      <c r="CD14" s="371"/>
      <c r="CE14" s="371"/>
      <c r="CF14" s="370"/>
      <c r="CG14" s="370"/>
      <c r="CH14" s="371"/>
      <c r="CI14" s="371"/>
      <c r="CJ14" s="370"/>
      <c r="CK14" s="370"/>
      <c r="CL14" s="371"/>
      <c r="CM14" s="371"/>
      <c r="CN14" s="370"/>
      <c r="CO14" s="370"/>
      <c r="CP14" s="371"/>
      <c r="CQ14" s="371"/>
      <c r="CR14" s="370"/>
      <c r="CS14" s="370"/>
      <c r="CT14" s="371"/>
      <c r="CU14" s="371"/>
      <c r="CV14" s="370"/>
      <c r="CW14" s="370"/>
      <c r="CX14" s="371"/>
      <c r="CY14" s="371"/>
      <c r="CZ14" s="370"/>
      <c r="DA14" s="370"/>
      <c r="DB14" s="371"/>
      <c r="DC14" s="371"/>
      <c r="DD14" s="370"/>
      <c r="DE14" s="370"/>
      <c r="DF14" s="371"/>
      <c r="DG14" s="371"/>
      <c r="DH14" s="370"/>
      <c r="DI14" s="370"/>
      <c r="DJ14" s="371"/>
      <c r="DK14" s="371"/>
      <c r="DL14" s="370"/>
      <c r="DM14" s="370"/>
      <c r="DN14" s="371"/>
      <c r="DO14" s="371"/>
      <c r="DP14" s="370"/>
      <c r="DQ14" s="370"/>
      <c r="DR14" s="371"/>
      <c r="DS14" s="371"/>
      <c r="DT14" s="370"/>
      <c r="DU14" s="370"/>
      <c r="DV14" s="371"/>
      <c r="DW14" s="371"/>
      <c r="DX14" s="370"/>
      <c r="DY14" s="370"/>
      <c r="DZ14" s="371"/>
      <c r="EA14" s="371"/>
      <c r="EB14" s="370"/>
      <c r="EC14" s="370"/>
      <c r="ED14" s="371"/>
      <c r="EE14" s="371"/>
      <c r="EF14" s="370"/>
      <c r="EG14" s="370"/>
      <c r="EH14" s="371"/>
      <c r="EI14" s="371"/>
      <c r="EJ14" s="370"/>
      <c r="EK14" s="370"/>
      <c r="EL14" s="371"/>
      <c r="EM14" s="371"/>
      <c r="EN14" s="370"/>
      <c r="EO14" s="370"/>
      <c r="EP14" s="371"/>
      <c r="EQ14" s="371"/>
      <c r="ER14" s="370"/>
      <c r="ES14" s="370"/>
      <c r="ET14" s="371"/>
      <c r="EU14" s="371"/>
      <c r="EV14" s="370"/>
      <c r="EW14" s="370"/>
      <c r="EX14" s="371"/>
      <c r="EY14" s="371"/>
      <c r="EZ14" s="370"/>
      <c r="FA14" s="370"/>
      <c r="FB14" s="371"/>
      <c r="FC14" s="371"/>
      <c r="FD14" s="370"/>
      <c r="FE14" s="370"/>
      <c r="FF14" s="371"/>
      <c r="FG14" s="371"/>
      <c r="FH14" s="370"/>
      <c r="FI14" s="370"/>
      <c r="FJ14" s="371"/>
      <c r="FK14" s="371"/>
      <c r="FL14" s="370"/>
      <c r="FM14" s="370"/>
      <c r="FN14" s="371"/>
      <c r="FO14" s="371"/>
      <c r="FP14" s="370"/>
      <c r="FQ14" s="370"/>
      <c r="FR14" s="371"/>
      <c r="FS14" s="371"/>
      <c r="FT14" s="370"/>
      <c r="FU14" s="370"/>
      <c r="FV14" s="371"/>
      <c r="FW14" s="371"/>
      <c r="FX14" s="370"/>
      <c r="FY14" s="370"/>
      <c r="FZ14" s="371"/>
      <c r="GA14" s="371"/>
      <c r="GB14" s="370"/>
      <c r="GC14" s="370"/>
      <c r="GD14" s="371"/>
      <c r="GE14" s="371"/>
      <c r="GF14" s="370"/>
      <c r="GG14" s="370"/>
      <c r="GH14" s="371"/>
      <c r="GI14" s="371"/>
      <c r="GJ14" s="370"/>
      <c r="GK14" s="370"/>
      <c r="GL14" s="371"/>
      <c r="GM14" s="371"/>
      <c r="GN14" s="370"/>
      <c r="GO14" s="370"/>
      <c r="GP14" s="371"/>
      <c r="GQ14" s="371"/>
      <c r="GR14" s="370"/>
      <c r="GS14" s="370"/>
    </row>
    <row r="15">
      <c r="A15" s="380" t="s">
        <v>246</v>
      </c>
      <c r="B15" s="371"/>
      <c r="C15" s="371"/>
      <c r="D15" s="370"/>
      <c r="E15" s="370"/>
      <c r="F15" s="371"/>
      <c r="G15" s="371"/>
      <c r="H15" s="370"/>
      <c r="I15" s="370"/>
      <c r="J15" s="371"/>
      <c r="K15" s="371"/>
      <c r="L15" s="370"/>
      <c r="M15" s="370"/>
      <c r="N15" s="371"/>
      <c r="O15" s="371"/>
      <c r="P15" s="370"/>
      <c r="Q15" s="370"/>
      <c r="R15" s="371"/>
      <c r="S15" s="371"/>
      <c r="T15" s="370"/>
      <c r="U15" s="370"/>
      <c r="V15" s="371"/>
      <c r="W15" s="371"/>
      <c r="X15" s="370"/>
      <c r="Y15" s="370"/>
      <c r="Z15" s="371"/>
      <c r="AA15" s="371"/>
      <c r="AB15" s="370"/>
      <c r="AC15" s="370"/>
      <c r="AD15" s="371"/>
      <c r="AE15" s="371"/>
      <c r="AF15" s="370"/>
      <c r="AG15" s="370"/>
      <c r="AH15" s="371"/>
      <c r="AI15" s="371"/>
      <c r="AJ15" s="370"/>
      <c r="AK15" s="370"/>
      <c r="AL15" s="371"/>
      <c r="AM15" s="371"/>
      <c r="AN15" s="370"/>
      <c r="AO15" s="370"/>
      <c r="AP15" s="371"/>
      <c r="AQ15" s="371"/>
      <c r="AR15" s="370"/>
      <c r="AS15" s="370"/>
      <c r="AT15" s="371"/>
      <c r="AU15" s="371"/>
      <c r="AV15" s="370"/>
      <c r="AW15" s="370"/>
      <c r="AX15" s="371"/>
      <c r="AY15" s="371"/>
      <c r="AZ15" s="370"/>
      <c r="BA15" s="370"/>
      <c r="BB15" s="371"/>
      <c r="BC15" s="371"/>
      <c r="BD15" s="370"/>
      <c r="BE15" s="370"/>
      <c r="BF15" s="371"/>
      <c r="BG15" s="371"/>
      <c r="BH15" s="370"/>
      <c r="BI15" s="370"/>
      <c r="BJ15" s="371"/>
      <c r="BK15" s="371"/>
      <c r="BL15" s="370"/>
      <c r="BM15" s="370"/>
      <c r="BN15" s="371"/>
      <c r="BO15" s="371"/>
      <c r="BP15" s="370"/>
      <c r="BQ15" s="370"/>
      <c r="BR15" s="371"/>
      <c r="BS15" s="371"/>
      <c r="BT15" s="370"/>
      <c r="BU15" s="370"/>
      <c r="BV15" s="371"/>
      <c r="BW15" s="371"/>
      <c r="BX15" s="370"/>
      <c r="BY15" s="370"/>
      <c r="BZ15" s="371"/>
      <c r="CA15" s="371"/>
      <c r="CB15" s="370"/>
      <c r="CC15" s="370"/>
      <c r="CD15" s="371"/>
      <c r="CE15" s="371"/>
      <c r="CF15" s="370"/>
      <c r="CG15" s="370"/>
      <c r="CH15" s="371"/>
      <c r="CI15" s="371"/>
      <c r="CJ15" s="370"/>
      <c r="CK15" s="370"/>
      <c r="CL15" s="371"/>
      <c r="CM15" s="371"/>
      <c r="CN15" s="370"/>
      <c r="CO15" s="370"/>
      <c r="CP15" s="371"/>
      <c r="CQ15" s="371"/>
      <c r="CR15" s="370"/>
      <c r="CS15" s="370"/>
      <c r="CT15" s="371"/>
      <c r="CU15" s="371"/>
      <c r="CV15" s="370"/>
      <c r="CW15" s="370"/>
      <c r="CX15" s="371"/>
      <c r="CY15" s="371"/>
      <c r="CZ15" s="370"/>
      <c r="DA15" s="370"/>
      <c r="DB15" s="371"/>
      <c r="DC15" s="371"/>
      <c r="DD15" s="370"/>
      <c r="DE15" s="370"/>
      <c r="DF15" s="371"/>
      <c r="DG15" s="371"/>
      <c r="DH15" s="370"/>
      <c r="DI15" s="370"/>
      <c r="DJ15" s="371"/>
      <c r="DK15" s="371"/>
      <c r="DL15" s="370"/>
      <c r="DM15" s="370"/>
      <c r="DN15" s="371"/>
      <c r="DO15" s="371"/>
      <c r="DP15" s="370"/>
      <c r="DQ15" s="370"/>
      <c r="DR15" s="371"/>
      <c r="DS15" s="371"/>
      <c r="DT15" s="370"/>
      <c r="DU15" s="370"/>
      <c r="DV15" s="371"/>
      <c r="DW15" s="371"/>
      <c r="DX15" s="370"/>
      <c r="DY15" s="370"/>
      <c r="DZ15" s="371"/>
      <c r="EA15" s="371"/>
      <c r="EB15" s="370"/>
      <c r="EC15" s="370"/>
      <c r="ED15" s="371"/>
      <c r="EE15" s="371"/>
      <c r="EF15" s="370"/>
      <c r="EG15" s="370"/>
      <c r="EH15" s="371"/>
      <c r="EI15" s="371"/>
      <c r="EJ15" s="370"/>
      <c r="EK15" s="370"/>
      <c r="EL15" s="371"/>
      <c r="EM15" s="371"/>
      <c r="EN15" s="370"/>
      <c r="EO15" s="370"/>
      <c r="EP15" s="371"/>
      <c r="EQ15" s="371"/>
      <c r="ER15" s="370"/>
      <c r="ES15" s="370"/>
      <c r="ET15" s="371"/>
      <c r="EU15" s="371"/>
      <c r="EV15" s="370"/>
      <c r="EW15" s="370"/>
      <c r="EX15" s="371"/>
      <c r="EY15" s="371"/>
      <c r="EZ15" s="370"/>
      <c r="FA15" s="370"/>
      <c r="FB15" s="371"/>
      <c r="FC15" s="371"/>
      <c r="FD15" s="370"/>
      <c r="FE15" s="370"/>
      <c r="FF15" s="371"/>
      <c r="FG15" s="371"/>
      <c r="FH15" s="370"/>
      <c r="FI15" s="370"/>
      <c r="FJ15" s="371"/>
      <c r="FK15" s="371"/>
      <c r="FL15" s="370"/>
      <c r="FM15" s="370"/>
      <c r="FN15" s="371"/>
      <c r="FO15" s="371"/>
      <c r="FP15" s="370"/>
      <c r="FQ15" s="370"/>
      <c r="FR15" s="371"/>
      <c r="FS15" s="371"/>
      <c r="FT15" s="370"/>
      <c r="FU15" s="370"/>
      <c r="FV15" s="371"/>
      <c r="FW15" s="371"/>
      <c r="FX15" s="370"/>
      <c r="FY15" s="370"/>
      <c r="FZ15" s="371"/>
      <c r="GA15" s="371"/>
      <c r="GB15" s="370"/>
      <c r="GC15" s="370"/>
      <c r="GD15" s="371"/>
      <c r="GE15" s="371"/>
      <c r="GF15" s="370"/>
      <c r="GG15" s="370"/>
      <c r="GH15" s="371"/>
      <c r="GI15" s="371"/>
      <c r="GJ15" s="370"/>
      <c r="GK15" s="370"/>
      <c r="GL15" s="371"/>
      <c r="GM15" s="371"/>
      <c r="GN15" s="370"/>
      <c r="GO15" s="370"/>
      <c r="GP15" s="371"/>
      <c r="GQ15" s="371"/>
      <c r="GR15" s="370"/>
      <c r="GS15" s="370"/>
    </row>
    <row r="16">
      <c r="A16" s="382" t="s">
        <v>247</v>
      </c>
      <c r="B16" s="382"/>
      <c r="C16" s="382"/>
      <c r="D16" s="382"/>
      <c r="E16" s="382"/>
      <c r="F16" s="382"/>
      <c r="G16" s="382"/>
      <c r="H16" s="382"/>
      <c r="I16" s="382"/>
      <c r="J16" s="382"/>
      <c r="K16" s="382"/>
      <c r="L16" s="382"/>
      <c r="M16" s="382"/>
      <c r="N16" s="382"/>
      <c r="O16" s="382"/>
      <c r="P16" s="382"/>
      <c r="Q16" s="382"/>
      <c r="R16" s="382"/>
      <c r="S16" s="382"/>
      <c r="T16" s="382"/>
      <c r="U16" s="382"/>
      <c r="V16" s="382"/>
      <c r="W16" s="382"/>
      <c r="X16" s="382"/>
      <c r="Y16" s="382"/>
      <c r="Z16" s="382"/>
      <c r="AA16" s="382"/>
      <c r="AB16" s="382"/>
      <c r="AC16" s="382"/>
      <c r="AD16" s="382"/>
      <c r="AE16" s="382"/>
      <c r="AF16" s="382"/>
      <c r="AG16" s="382"/>
      <c r="AH16" s="382"/>
      <c r="AI16" s="382"/>
      <c r="AJ16" s="382"/>
      <c r="AK16" s="382"/>
      <c r="AL16" s="382"/>
      <c r="AM16" s="382"/>
      <c r="AN16" s="382"/>
      <c r="AO16" s="382"/>
      <c r="AP16" s="382"/>
      <c r="AQ16" s="382"/>
      <c r="AR16" s="382"/>
      <c r="AS16" s="382"/>
      <c r="AT16" s="382"/>
      <c r="AU16" s="382"/>
      <c r="AV16" s="382"/>
      <c r="AW16" s="382"/>
      <c r="AX16" s="382"/>
      <c r="AY16" s="382"/>
      <c r="AZ16" s="382"/>
      <c r="BA16" s="382"/>
      <c r="BB16" s="382"/>
      <c r="BC16" s="382"/>
      <c r="BD16" s="382"/>
      <c r="BE16" s="382"/>
      <c r="BF16" s="382"/>
      <c r="BG16" s="382"/>
      <c r="BH16" s="382"/>
      <c r="BI16" s="382"/>
      <c r="BJ16" s="382"/>
      <c r="BK16" s="382"/>
      <c r="BL16" s="382"/>
      <c r="BM16" s="382"/>
      <c r="BN16" s="382"/>
      <c r="BO16" s="382"/>
      <c r="BP16" s="382"/>
      <c r="BQ16" s="382"/>
      <c r="BR16" s="382"/>
      <c r="BS16" s="382"/>
      <c r="BT16" s="382"/>
      <c r="BU16" s="382"/>
      <c r="BV16" s="382"/>
      <c r="BW16" s="382"/>
      <c r="BX16" s="382"/>
      <c r="BY16" s="382"/>
      <c r="BZ16" s="382"/>
      <c r="CA16" s="382"/>
      <c r="CB16" s="382"/>
      <c r="CC16" s="382"/>
      <c r="CD16" s="382"/>
      <c r="CE16" s="382"/>
      <c r="CF16" s="382"/>
      <c r="CG16" s="382"/>
      <c r="CH16" s="382"/>
      <c r="CI16" s="382"/>
      <c r="CJ16" s="382"/>
      <c r="CK16" s="382"/>
      <c r="CL16" s="382"/>
      <c r="CM16" s="382"/>
      <c r="CN16" s="382"/>
      <c r="CO16" s="382"/>
      <c r="CP16" s="382"/>
      <c r="CQ16" s="382"/>
      <c r="CR16" s="382"/>
      <c r="CS16" s="382"/>
      <c r="CT16" s="382"/>
      <c r="CU16" s="382"/>
      <c r="CV16" s="382"/>
      <c r="CW16" s="382"/>
      <c r="CX16" s="382"/>
      <c r="CY16" s="382"/>
      <c r="CZ16" s="382"/>
      <c r="DA16" s="382"/>
      <c r="DB16" s="382"/>
      <c r="DC16" s="382"/>
      <c r="DD16" s="382"/>
      <c r="DE16" s="382"/>
      <c r="DF16" s="382"/>
      <c r="DG16" s="382"/>
      <c r="DH16" s="382"/>
      <c r="DI16" s="382"/>
      <c r="DJ16" s="382"/>
      <c r="DK16" s="382"/>
      <c r="DL16" s="382"/>
      <c r="DM16" s="382"/>
      <c r="DN16" s="382"/>
      <c r="DO16" s="382"/>
      <c r="DP16" s="382"/>
      <c r="DQ16" s="382"/>
      <c r="DR16" s="382"/>
      <c r="DS16" s="382"/>
      <c r="DT16" s="382"/>
      <c r="DU16" s="382"/>
      <c r="DV16" s="382"/>
      <c r="DW16" s="382"/>
      <c r="DX16" s="382"/>
      <c r="DY16" s="382"/>
      <c r="DZ16" s="382"/>
      <c r="EA16" s="382"/>
      <c r="EB16" s="382"/>
      <c r="EC16" s="382"/>
      <c r="ED16" s="382"/>
      <c r="EE16" s="382"/>
      <c r="EF16" s="382"/>
      <c r="EG16" s="382"/>
      <c r="EH16" s="382"/>
      <c r="EI16" s="382"/>
      <c r="EJ16" s="382"/>
      <c r="EK16" s="382"/>
      <c r="EL16" s="382"/>
      <c r="EM16" s="382"/>
      <c r="EN16" s="382"/>
      <c r="EO16" s="382"/>
      <c r="EP16" s="382"/>
      <c r="EQ16" s="382"/>
      <c r="ER16" s="382"/>
      <c r="ES16" s="382"/>
      <c r="ET16" s="382"/>
      <c r="EU16" s="382"/>
      <c r="EV16" s="382"/>
      <c r="EW16" s="382"/>
      <c r="EX16" s="382"/>
      <c r="EY16" s="382"/>
      <c r="EZ16" s="382"/>
      <c r="FA16" s="382"/>
      <c r="FB16" s="382"/>
      <c r="FC16" s="382"/>
      <c r="FD16" s="382"/>
      <c r="FE16" s="382"/>
      <c r="FF16" s="382"/>
      <c r="FG16" s="382"/>
      <c r="FH16" s="382"/>
      <c r="FI16" s="382"/>
      <c r="FJ16" s="382"/>
      <c r="FK16" s="382"/>
      <c r="FL16" s="382"/>
      <c r="FM16" s="382"/>
      <c r="FN16" s="382"/>
      <c r="FO16" s="382"/>
      <c r="FP16" s="382"/>
      <c r="FQ16" s="382"/>
      <c r="FR16" s="382"/>
      <c r="FS16" s="382"/>
      <c r="FT16" s="382"/>
      <c r="FU16" s="382"/>
      <c r="FV16" s="382"/>
      <c r="FW16" s="382"/>
      <c r="FX16" s="382"/>
      <c r="FY16" s="382"/>
      <c r="FZ16" s="382"/>
      <c r="GA16" s="382"/>
      <c r="GB16" s="382"/>
      <c r="GC16" s="382"/>
      <c r="GD16" s="382"/>
      <c r="GE16" s="382"/>
      <c r="GF16" s="382"/>
      <c r="GG16" s="382"/>
      <c r="GH16" s="382"/>
      <c r="GI16" s="382"/>
      <c r="GJ16" s="382"/>
      <c r="GK16" s="382"/>
      <c r="GL16" s="382"/>
      <c r="GM16" s="382"/>
      <c r="GN16" s="382"/>
      <c r="GO16" s="382"/>
      <c r="GP16" s="382"/>
      <c r="GQ16" s="382"/>
      <c r="GR16" s="382"/>
      <c r="GS16" s="382"/>
    </row>
    <row r="17">
      <c r="A17" s="365" t="s">
        <v>248</v>
      </c>
      <c r="B17" s="365"/>
      <c r="C17" s="365"/>
      <c r="D17" s="365"/>
      <c r="E17" s="365"/>
      <c r="F17" s="365"/>
      <c r="G17" s="365"/>
      <c r="H17" s="365"/>
      <c r="I17" s="365"/>
      <c r="J17" s="365"/>
      <c r="K17" s="365"/>
      <c r="L17" s="365"/>
      <c r="M17" s="365"/>
      <c r="N17" s="365"/>
      <c r="O17" s="365"/>
      <c r="P17" s="365"/>
      <c r="Q17" s="365"/>
      <c r="R17" s="365"/>
      <c r="S17" s="365"/>
      <c r="T17" s="365"/>
      <c r="U17" s="365"/>
      <c r="V17" s="365"/>
      <c r="W17" s="365"/>
      <c r="X17" s="365"/>
      <c r="Y17" s="365"/>
      <c r="Z17" s="365"/>
      <c r="AA17" s="365"/>
      <c r="AB17" s="365"/>
      <c r="AC17" s="365"/>
      <c r="AD17" s="365"/>
      <c r="AE17" s="365"/>
      <c r="AF17" s="365"/>
      <c r="AG17" s="365"/>
      <c r="AH17" s="365"/>
      <c r="AI17" s="365"/>
      <c r="AJ17" s="365"/>
      <c r="AK17" s="365"/>
      <c r="AL17" s="365"/>
      <c r="AM17" s="365"/>
      <c r="AN17" s="365"/>
      <c r="AO17" s="365"/>
      <c r="AP17" s="365"/>
      <c r="AQ17" s="365"/>
      <c r="AR17" s="365"/>
      <c r="AS17" s="365"/>
      <c r="AT17" s="365"/>
      <c r="AU17" s="365"/>
      <c r="AV17" s="365"/>
      <c r="AW17" s="365"/>
      <c r="AX17" s="365"/>
      <c r="AY17" s="365"/>
      <c r="AZ17" s="365"/>
      <c r="BA17" s="365"/>
      <c r="BB17" s="365"/>
      <c r="BC17" s="365"/>
      <c r="BD17" s="365"/>
      <c r="BE17" s="365"/>
      <c r="BF17" s="365"/>
      <c r="BG17" s="365"/>
      <c r="BH17" s="365"/>
      <c r="BI17" s="365"/>
      <c r="BJ17" s="365"/>
      <c r="BK17" s="365"/>
      <c r="BL17" s="365"/>
      <c r="BM17" s="365"/>
      <c r="BN17" s="365"/>
      <c r="BO17" s="365"/>
      <c r="BP17" s="365"/>
      <c r="BQ17" s="365"/>
      <c r="BR17" s="365"/>
      <c r="BS17" s="365"/>
      <c r="BT17" s="365"/>
      <c r="BU17" s="365"/>
      <c r="BV17" s="365"/>
      <c r="BW17" s="365"/>
      <c r="BX17" s="365"/>
      <c r="BY17" s="365"/>
      <c r="BZ17" s="365"/>
      <c r="CA17" s="365"/>
      <c r="CB17" s="365"/>
      <c r="CC17" s="365"/>
      <c r="CD17" s="365"/>
      <c r="CE17" s="365"/>
      <c r="CF17" s="365"/>
      <c r="CG17" s="365"/>
      <c r="CH17" s="365"/>
      <c r="CI17" s="365"/>
      <c r="CJ17" s="365"/>
      <c r="CK17" s="365"/>
      <c r="CL17" s="365"/>
      <c r="CM17" s="365"/>
      <c r="CN17" s="365"/>
      <c r="CO17" s="365"/>
      <c r="CP17" s="365"/>
      <c r="CQ17" s="365"/>
      <c r="CR17" s="365"/>
      <c r="CS17" s="365"/>
      <c r="CT17" s="365"/>
      <c r="CU17" s="365"/>
      <c r="CV17" s="365"/>
      <c r="CW17" s="365"/>
      <c r="CX17" s="365"/>
      <c r="CY17" s="365"/>
      <c r="CZ17" s="365"/>
      <c r="DA17" s="365"/>
      <c r="DB17" s="365"/>
      <c r="DC17" s="365"/>
      <c r="DD17" s="365"/>
      <c r="DE17" s="365"/>
      <c r="DF17" s="365"/>
      <c r="DG17" s="365"/>
      <c r="DH17" s="365"/>
      <c r="DI17" s="365"/>
      <c r="DJ17" s="365"/>
      <c r="DK17" s="365"/>
      <c r="DL17" s="365"/>
      <c r="DM17" s="365"/>
      <c r="DN17" s="365"/>
      <c r="DO17" s="365"/>
      <c r="DP17" s="365"/>
      <c r="DQ17" s="365"/>
      <c r="DR17" s="365"/>
      <c r="DS17" s="365"/>
      <c r="DT17" s="365"/>
      <c r="DU17" s="365"/>
      <c r="DV17" s="365"/>
      <c r="DW17" s="365"/>
      <c r="DX17" s="365"/>
      <c r="DY17" s="365"/>
      <c r="DZ17" s="365"/>
      <c r="EA17" s="365"/>
      <c r="EB17" s="365"/>
      <c r="EC17" s="365"/>
      <c r="ED17" s="365"/>
      <c r="EE17" s="365"/>
      <c r="EF17" s="365"/>
      <c r="EG17" s="365"/>
      <c r="EH17" s="365"/>
      <c r="EI17" s="365"/>
      <c r="EJ17" s="365"/>
      <c r="EK17" s="365"/>
      <c r="EL17" s="365"/>
      <c r="EM17" s="365"/>
      <c r="EN17" s="365"/>
      <c r="EO17" s="365"/>
      <c r="EP17" s="365"/>
      <c r="EQ17" s="365"/>
      <c r="ER17" s="365"/>
      <c r="ES17" s="365"/>
      <c r="ET17" s="365"/>
      <c r="EU17" s="365"/>
      <c r="EV17" s="365"/>
      <c r="EW17" s="365"/>
      <c r="EX17" s="365"/>
      <c r="EY17" s="365"/>
      <c r="EZ17" s="365"/>
      <c r="FA17" s="365"/>
      <c r="FB17" s="365"/>
      <c r="FC17" s="365"/>
      <c r="FD17" s="365"/>
      <c r="FE17" s="365"/>
      <c r="FF17" s="365"/>
      <c r="FG17" s="365"/>
      <c r="FH17" s="365"/>
      <c r="FI17" s="365"/>
      <c r="FJ17" s="365"/>
      <c r="FK17" s="365"/>
      <c r="FL17" s="365"/>
      <c r="FM17" s="365"/>
      <c r="FN17" s="365"/>
      <c r="FO17" s="365"/>
      <c r="FP17" s="365"/>
      <c r="FQ17" s="365"/>
      <c r="FR17" s="365"/>
      <c r="FS17" s="365"/>
      <c r="FT17" s="365"/>
      <c r="FU17" s="365"/>
      <c r="FV17" s="365"/>
      <c r="FW17" s="365"/>
      <c r="FX17" s="365"/>
      <c r="FY17" s="365"/>
      <c r="FZ17" s="365"/>
      <c r="GA17" s="365"/>
      <c r="GB17" s="365"/>
      <c r="GC17" s="365"/>
      <c r="GD17" s="365"/>
      <c r="GE17" s="365"/>
      <c r="GF17" s="365"/>
      <c r="GG17" s="365"/>
      <c r="GH17" s="365"/>
      <c r="GI17" s="365"/>
      <c r="GJ17" s="365"/>
      <c r="GK17" s="365"/>
      <c r="GL17" s="365"/>
      <c r="GM17" s="365"/>
      <c r="GN17" s="365"/>
      <c r="GO17" s="365"/>
      <c r="GP17" s="365"/>
      <c r="GQ17" s="365"/>
      <c r="GR17" s="365"/>
      <c r="GS17" s="365"/>
    </row>
    <row r="18">
      <c r="A18" s="383" t="s">
        <v>249</v>
      </c>
      <c r="B18" s="371"/>
      <c r="C18" s="371"/>
      <c r="D18" s="370"/>
      <c r="E18" s="370"/>
      <c r="F18" s="371"/>
      <c r="G18" s="371"/>
      <c r="H18" s="370"/>
      <c r="I18" s="370"/>
      <c r="J18" s="371"/>
      <c r="K18" s="371"/>
      <c r="L18" s="370"/>
      <c r="M18" s="370"/>
      <c r="N18" s="371"/>
      <c r="O18" s="371"/>
      <c r="P18" s="370"/>
      <c r="Q18" s="370"/>
      <c r="R18" s="371"/>
      <c r="S18" s="371"/>
      <c r="T18" s="370"/>
      <c r="U18" s="370"/>
      <c r="V18" s="371"/>
      <c r="W18" s="371"/>
      <c r="X18" s="370"/>
      <c r="Y18" s="370"/>
      <c r="Z18" s="371"/>
      <c r="AA18" s="371"/>
      <c r="AB18" s="370"/>
      <c r="AC18" s="370"/>
      <c r="AD18" s="371"/>
      <c r="AE18" s="371"/>
      <c r="AF18" s="370"/>
      <c r="AG18" s="370"/>
      <c r="AH18" s="371"/>
      <c r="AI18" s="371"/>
      <c r="AJ18" s="370"/>
      <c r="AK18" s="370"/>
      <c r="AL18" s="371"/>
      <c r="AM18" s="371"/>
      <c r="AN18" s="370"/>
      <c r="AO18" s="370"/>
      <c r="AP18" s="371"/>
      <c r="AQ18" s="371"/>
      <c r="AR18" s="370"/>
      <c r="AS18" s="370"/>
      <c r="AT18" s="371"/>
      <c r="AU18" s="371"/>
      <c r="AV18" s="370"/>
      <c r="AW18" s="370"/>
      <c r="AX18" s="371"/>
      <c r="AY18" s="371"/>
      <c r="AZ18" s="370"/>
      <c r="BA18" s="370"/>
      <c r="BB18" s="371"/>
      <c r="BC18" s="371"/>
      <c r="BD18" s="370"/>
      <c r="BE18" s="370"/>
      <c r="BF18" s="371"/>
      <c r="BG18" s="371"/>
      <c r="BH18" s="370"/>
      <c r="BI18" s="370"/>
      <c r="BJ18" s="371"/>
      <c r="BK18" s="371"/>
      <c r="BL18" s="370"/>
      <c r="BM18" s="370"/>
      <c r="BN18" s="371"/>
      <c r="BO18" s="371"/>
      <c r="BP18" s="370"/>
      <c r="BQ18" s="370"/>
      <c r="BR18" s="371"/>
      <c r="BS18" s="371"/>
      <c r="BT18" s="370"/>
      <c r="BU18" s="370"/>
      <c r="BV18" s="371"/>
      <c r="BW18" s="371"/>
      <c r="BX18" s="370"/>
      <c r="BY18" s="370"/>
      <c r="BZ18" s="371"/>
      <c r="CA18" s="371"/>
      <c r="CB18" s="370"/>
      <c r="CC18" s="370"/>
      <c r="CD18" s="371"/>
      <c r="CE18" s="371"/>
      <c r="CF18" s="370"/>
      <c r="CG18" s="370"/>
      <c r="CH18" s="371"/>
      <c r="CI18" s="371"/>
      <c r="CJ18" s="370"/>
      <c r="CK18" s="370"/>
      <c r="CL18" s="371"/>
      <c r="CM18" s="371"/>
      <c r="CN18" s="370"/>
      <c r="CO18" s="370"/>
      <c r="CP18" s="371"/>
      <c r="CQ18" s="371"/>
      <c r="CR18" s="370"/>
      <c r="CS18" s="370"/>
      <c r="CT18" s="371"/>
      <c r="CU18" s="371"/>
      <c r="CV18" s="370"/>
      <c r="CW18" s="370"/>
      <c r="CX18" s="371"/>
      <c r="CY18" s="371"/>
      <c r="CZ18" s="370"/>
      <c r="DA18" s="370"/>
      <c r="DB18" s="371"/>
      <c r="DC18" s="371"/>
      <c r="DD18" s="370"/>
      <c r="DE18" s="370"/>
      <c r="DF18" s="371"/>
      <c r="DG18" s="371"/>
      <c r="DH18" s="370"/>
      <c r="DI18" s="370"/>
      <c r="DJ18" s="371"/>
      <c r="DK18" s="371"/>
      <c r="DL18" s="370"/>
      <c r="DM18" s="370"/>
      <c r="DN18" s="371"/>
      <c r="DO18" s="371"/>
      <c r="DP18" s="370"/>
      <c r="DQ18" s="370"/>
      <c r="DR18" s="371"/>
      <c r="DS18" s="371"/>
      <c r="DT18" s="370"/>
      <c r="DU18" s="370"/>
      <c r="DV18" s="371"/>
      <c r="DW18" s="371"/>
      <c r="DX18" s="370"/>
      <c r="DY18" s="370"/>
      <c r="DZ18" s="371"/>
      <c r="EA18" s="371"/>
      <c r="EB18" s="370"/>
      <c r="EC18" s="370"/>
      <c r="ED18" s="371"/>
      <c r="EE18" s="371"/>
      <c r="EF18" s="370"/>
      <c r="EG18" s="370"/>
      <c r="EH18" s="371"/>
      <c r="EI18" s="371"/>
      <c r="EJ18" s="370"/>
      <c r="EK18" s="370"/>
      <c r="EL18" s="371"/>
      <c r="EM18" s="371"/>
      <c r="EN18" s="370"/>
      <c r="EO18" s="370"/>
      <c r="EP18" s="371"/>
      <c r="EQ18" s="371"/>
      <c r="ER18" s="370"/>
      <c r="ES18" s="370"/>
      <c r="ET18" s="371"/>
      <c r="EU18" s="371"/>
      <c r="EV18" s="370"/>
      <c r="EW18" s="370"/>
      <c r="EX18" s="371"/>
      <c r="EY18" s="371"/>
      <c r="EZ18" s="370"/>
      <c r="FA18" s="370"/>
      <c r="FB18" s="371"/>
      <c r="FC18" s="371"/>
      <c r="FD18" s="370"/>
      <c r="FE18" s="370"/>
      <c r="FF18" s="371"/>
      <c r="FG18" s="371"/>
      <c r="FH18" s="370"/>
      <c r="FI18" s="370"/>
      <c r="FJ18" s="371"/>
      <c r="FK18" s="371"/>
      <c r="FL18" s="370"/>
      <c r="FM18" s="370"/>
      <c r="FN18" s="371"/>
      <c r="FO18" s="371"/>
      <c r="FP18" s="370"/>
      <c r="FQ18" s="370"/>
      <c r="FR18" s="371"/>
      <c r="FS18" s="371"/>
      <c r="FT18" s="370"/>
      <c r="FU18" s="370"/>
      <c r="FV18" s="371"/>
      <c r="FW18" s="371"/>
      <c r="FX18" s="370"/>
      <c r="FY18" s="370"/>
      <c r="FZ18" s="371"/>
      <c r="GA18" s="371"/>
      <c r="GB18" s="370"/>
      <c r="GC18" s="370"/>
      <c r="GD18" s="371"/>
      <c r="GE18" s="371"/>
      <c r="GF18" s="370"/>
      <c r="GG18" s="370"/>
      <c r="GH18" s="371"/>
      <c r="GI18" s="371"/>
      <c r="GJ18" s="370"/>
      <c r="GK18" s="370"/>
      <c r="GL18" s="371"/>
      <c r="GM18" s="371"/>
      <c r="GN18" s="370"/>
      <c r="GO18" s="370"/>
      <c r="GP18" s="371"/>
      <c r="GQ18" s="371"/>
      <c r="GR18" s="370"/>
      <c r="GS18" s="370"/>
    </row>
    <row r="19">
      <c r="A19" s="383" t="s">
        <v>250</v>
      </c>
      <c r="B19" s="371"/>
      <c r="C19" s="371"/>
      <c r="D19" s="370"/>
      <c r="E19" s="370"/>
      <c r="F19" s="371"/>
      <c r="G19" s="371"/>
      <c r="H19" s="370"/>
      <c r="I19" s="370"/>
      <c r="J19" s="371"/>
      <c r="K19" s="371"/>
      <c r="L19" s="370"/>
      <c r="M19" s="370"/>
      <c r="N19" s="371"/>
      <c r="O19" s="371"/>
      <c r="P19" s="370"/>
      <c r="Q19" s="370"/>
      <c r="R19" s="371"/>
      <c r="S19" s="371"/>
      <c r="T19" s="370"/>
      <c r="U19" s="370"/>
      <c r="V19" s="371"/>
      <c r="W19" s="371"/>
      <c r="X19" s="370"/>
      <c r="Y19" s="370"/>
      <c r="Z19" s="371"/>
      <c r="AA19" s="371"/>
      <c r="AB19" s="370"/>
      <c r="AC19" s="370"/>
      <c r="AD19" s="371"/>
      <c r="AE19" s="371"/>
      <c r="AF19" s="370"/>
      <c r="AG19" s="370"/>
      <c r="AH19" s="371"/>
      <c r="AI19" s="371"/>
      <c r="AJ19" s="370"/>
      <c r="AK19" s="370"/>
      <c r="AL19" s="371"/>
      <c r="AM19" s="371"/>
      <c r="AN19" s="370"/>
      <c r="AO19" s="370"/>
      <c r="AP19" s="371"/>
      <c r="AQ19" s="371"/>
      <c r="AR19" s="370"/>
      <c r="AS19" s="370"/>
      <c r="AT19" s="371"/>
      <c r="AU19" s="371"/>
      <c r="AV19" s="370"/>
      <c r="AW19" s="370"/>
      <c r="AX19" s="371"/>
      <c r="AY19" s="371"/>
      <c r="AZ19" s="370"/>
      <c r="BA19" s="370"/>
      <c r="BB19" s="371"/>
      <c r="BC19" s="371"/>
      <c r="BD19" s="370"/>
      <c r="BE19" s="370"/>
      <c r="BF19" s="371"/>
      <c r="BG19" s="371"/>
      <c r="BH19" s="370"/>
      <c r="BI19" s="370"/>
      <c r="BJ19" s="371"/>
      <c r="BK19" s="371"/>
      <c r="BL19" s="370"/>
      <c r="BM19" s="370"/>
      <c r="BN19" s="371"/>
      <c r="BO19" s="371"/>
      <c r="BP19" s="370"/>
      <c r="BQ19" s="370"/>
      <c r="BR19" s="371"/>
      <c r="BS19" s="371"/>
      <c r="BT19" s="370"/>
      <c r="BU19" s="370"/>
      <c r="BV19" s="371"/>
      <c r="BW19" s="371"/>
      <c r="BX19" s="370"/>
      <c r="BY19" s="370"/>
      <c r="BZ19" s="371"/>
      <c r="CA19" s="371"/>
      <c r="CB19" s="370"/>
      <c r="CC19" s="370"/>
      <c r="CD19" s="371"/>
      <c r="CE19" s="371"/>
      <c r="CF19" s="370"/>
      <c r="CG19" s="370"/>
      <c r="CH19" s="371"/>
      <c r="CI19" s="371"/>
      <c r="CJ19" s="370"/>
      <c r="CK19" s="370"/>
      <c r="CL19" s="371"/>
      <c r="CM19" s="371"/>
      <c r="CN19" s="370"/>
      <c r="CO19" s="370"/>
      <c r="CP19" s="371"/>
      <c r="CQ19" s="371"/>
      <c r="CR19" s="370"/>
      <c r="CS19" s="370"/>
      <c r="CT19" s="371"/>
      <c r="CU19" s="371"/>
      <c r="CV19" s="370"/>
      <c r="CW19" s="370"/>
      <c r="CX19" s="371"/>
      <c r="CY19" s="371"/>
      <c r="CZ19" s="370"/>
      <c r="DA19" s="370"/>
      <c r="DB19" s="371"/>
      <c r="DC19" s="371"/>
      <c r="DD19" s="370"/>
      <c r="DE19" s="370"/>
      <c r="DF19" s="371"/>
      <c r="DG19" s="371"/>
      <c r="DH19" s="370"/>
      <c r="DI19" s="370"/>
      <c r="DJ19" s="371"/>
      <c r="DK19" s="371"/>
      <c r="DL19" s="370"/>
      <c r="DM19" s="370"/>
      <c r="DN19" s="371"/>
      <c r="DO19" s="371"/>
      <c r="DP19" s="370"/>
      <c r="DQ19" s="370"/>
      <c r="DR19" s="371"/>
      <c r="DS19" s="371"/>
      <c r="DT19" s="370"/>
      <c r="DU19" s="370"/>
      <c r="DV19" s="371"/>
      <c r="DW19" s="371"/>
      <c r="DX19" s="370"/>
      <c r="DY19" s="370"/>
      <c r="DZ19" s="371"/>
      <c r="EA19" s="371"/>
      <c r="EB19" s="370"/>
      <c r="EC19" s="370"/>
      <c r="ED19" s="371"/>
      <c r="EE19" s="371"/>
      <c r="EF19" s="370"/>
      <c r="EG19" s="370"/>
      <c r="EH19" s="371"/>
      <c r="EI19" s="371"/>
      <c r="EJ19" s="370"/>
      <c r="EK19" s="370"/>
      <c r="EL19" s="371"/>
      <c r="EM19" s="371"/>
      <c r="EN19" s="370"/>
      <c r="EO19" s="370"/>
      <c r="EP19" s="371"/>
      <c r="EQ19" s="371"/>
      <c r="ER19" s="370"/>
      <c r="ES19" s="370"/>
      <c r="ET19" s="371"/>
      <c r="EU19" s="371"/>
      <c r="EV19" s="370"/>
      <c r="EW19" s="370"/>
      <c r="EX19" s="371"/>
      <c r="EY19" s="371"/>
      <c r="EZ19" s="370"/>
      <c r="FA19" s="370"/>
      <c r="FB19" s="371"/>
      <c r="FC19" s="371"/>
      <c r="FD19" s="370"/>
      <c r="FE19" s="370"/>
      <c r="FF19" s="371"/>
      <c r="FG19" s="371"/>
      <c r="FH19" s="370"/>
      <c r="FI19" s="370"/>
      <c r="FJ19" s="371"/>
      <c r="FK19" s="371"/>
      <c r="FL19" s="370"/>
      <c r="FM19" s="370"/>
      <c r="FN19" s="371"/>
      <c r="FO19" s="371"/>
      <c r="FP19" s="370"/>
      <c r="FQ19" s="370"/>
      <c r="FR19" s="371"/>
      <c r="FS19" s="371"/>
      <c r="FT19" s="370"/>
      <c r="FU19" s="370"/>
      <c r="FV19" s="371"/>
      <c r="FW19" s="371"/>
      <c r="FX19" s="370"/>
      <c r="FY19" s="370"/>
      <c r="FZ19" s="371"/>
      <c r="GA19" s="371"/>
      <c r="GB19" s="370"/>
      <c r="GC19" s="370"/>
      <c r="GD19" s="371"/>
      <c r="GE19" s="371"/>
      <c r="GF19" s="370"/>
      <c r="GG19" s="370"/>
      <c r="GH19" s="371"/>
      <c r="GI19" s="371"/>
      <c r="GJ19" s="370"/>
      <c r="GK19" s="370"/>
      <c r="GL19" s="371"/>
      <c r="GM19" s="371"/>
      <c r="GN19" s="370"/>
      <c r="GO19" s="370"/>
      <c r="GP19" s="371"/>
      <c r="GQ19" s="371"/>
      <c r="GR19" s="370"/>
      <c r="GS19" s="370"/>
    </row>
    <row r="20">
      <c r="A20" s="383" t="s">
        <v>251</v>
      </c>
      <c r="B20" s="371"/>
      <c r="C20" s="371"/>
      <c r="D20" s="370"/>
      <c r="E20" s="370"/>
      <c r="F20" s="371"/>
      <c r="G20" s="371"/>
      <c r="H20" s="370"/>
      <c r="I20" s="370"/>
      <c r="J20" s="371"/>
      <c r="K20" s="371"/>
      <c r="L20" s="370"/>
      <c r="M20" s="370"/>
      <c r="N20" s="371"/>
      <c r="O20" s="371"/>
      <c r="P20" s="370"/>
      <c r="Q20" s="370"/>
      <c r="R20" s="371"/>
      <c r="S20" s="371"/>
      <c r="T20" s="370"/>
      <c r="U20" s="370"/>
      <c r="V20" s="371"/>
      <c r="W20" s="371"/>
      <c r="X20" s="370"/>
      <c r="Y20" s="370"/>
      <c r="Z20" s="371"/>
      <c r="AA20" s="371"/>
      <c r="AB20" s="370"/>
      <c r="AC20" s="370"/>
      <c r="AD20" s="371"/>
      <c r="AE20" s="371"/>
      <c r="AF20" s="370"/>
      <c r="AG20" s="370"/>
      <c r="AH20" s="371"/>
      <c r="AI20" s="371"/>
      <c r="AJ20" s="370"/>
      <c r="AK20" s="370"/>
      <c r="AL20" s="371"/>
      <c r="AM20" s="371"/>
      <c r="AN20" s="370"/>
      <c r="AO20" s="370"/>
      <c r="AP20" s="371"/>
      <c r="AQ20" s="371"/>
      <c r="AR20" s="370"/>
      <c r="AS20" s="370"/>
      <c r="AT20" s="371"/>
      <c r="AU20" s="371"/>
      <c r="AV20" s="370"/>
      <c r="AW20" s="370"/>
      <c r="AX20" s="371"/>
      <c r="AY20" s="371"/>
      <c r="AZ20" s="370"/>
      <c r="BA20" s="370"/>
      <c r="BB20" s="371"/>
      <c r="BC20" s="371"/>
      <c r="BD20" s="370"/>
      <c r="BE20" s="370"/>
      <c r="BF20" s="371"/>
      <c r="BG20" s="371"/>
      <c r="BH20" s="370"/>
      <c r="BI20" s="370"/>
      <c r="BJ20" s="371"/>
      <c r="BK20" s="371"/>
      <c r="BL20" s="370"/>
      <c r="BM20" s="370"/>
      <c r="BN20" s="371"/>
      <c r="BO20" s="371"/>
      <c r="BP20" s="370"/>
      <c r="BQ20" s="370"/>
      <c r="BR20" s="371"/>
      <c r="BS20" s="371"/>
      <c r="BT20" s="370"/>
      <c r="BU20" s="370"/>
      <c r="BV20" s="371"/>
      <c r="BW20" s="371"/>
      <c r="BX20" s="370"/>
      <c r="BY20" s="370"/>
      <c r="BZ20" s="371"/>
      <c r="CA20" s="371"/>
      <c r="CB20" s="370"/>
      <c r="CC20" s="370"/>
      <c r="CD20" s="371"/>
      <c r="CE20" s="371"/>
      <c r="CF20" s="370"/>
      <c r="CG20" s="370"/>
      <c r="CH20" s="371"/>
      <c r="CI20" s="371"/>
      <c r="CJ20" s="370"/>
      <c r="CK20" s="370"/>
      <c r="CL20" s="371"/>
      <c r="CM20" s="371"/>
      <c r="CN20" s="370"/>
      <c r="CO20" s="370"/>
      <c r="CP20" s="371"/>
      <c r="CQ20" s="371"/>
      <c r="CR20" s="370"/>
      <c r="CS20" s="370"/>
      <c r="CT20" s="371"/>
      <c r="CU20" s="371"/>
      <c r="CV20" s="370"/>
      <c r="CW20" s="370"/>
      <c r="CX20" s="371"/>
      <c r="CY20" s="371"/>
      <c r="CZ20" s="370"/>
      <c r="DA20" s="370"/>
      <c r="DB20" s="371"/>
      <c r="DC20" s="371"/>
      <c r="DD20" s="370"/>
      <c r="DE20" s="370"/>
      <c r="DF20" s="371"/>
      <c r="DG20" s="371"/>
      <c r="DH20" s="370"/>
      <c r="DI20" s="370"/>
      <c r="DJ20" s="371"/>
      <c r="DK20" s="371"/>
      <c r="DL20" s="370"/>
      <c r="DM20" s="370"/>
      <c r="DN20" s="371"/>
      <c r="DO20" s="371"/>
      <c r="DP20" s="370"/>
      <c r="DQ20" s="370"/>
      <c r="DR20" s="371"/>
      <c r="DS20" s="371"/>
      <c r="DT20" s="370"/>
      <c r="DU20" s="370"/>
      <c r="DV20" s="371"/>
      <c r="DW20" s="371"/>
      <c r="DX20" s="370"/>
      <c r="DY20" s="370"/>
      <c r="DZ20" s="371"/>
      <c r="EA20" s="371"/>
      <c r="EB20" s="370"/>
      <c r="EC20" s="370"/>
      <c r="ED20" s="371"/>
      <c r="EE20" s="371"/>
      <c r="EF20" s="370"/>
      <c r="EG20" s="370"/>
      <c r="EH20" s="371"/>
      <c r="EI20" s="371"/>
      <c r="EJ20" s="370"/>
      <c r="EK20" s="370"/>
      <c r="EL20" s="371"/>
      <c r="EM20" s="371"/>
      <c r="EN20" s="370"/>
      <c r="EO20" s="370"/>
      <c r="EP20" s="371"/>
      <c r="EQ20" s="371"/>
      <c r="ER20" s="370"/>
      <c r="ES20" s="370"/>
      <c r="ET20" s="371"/>
      <c r="EU20" s="371"/>
      <c r="EV20" s="370"/>
      <c r="EW20" s="370"/>
      <c r="EX20" s="371"/>
      <c r="EY20" s="371"/>
      <c r="EZ20" s="370"/>
      <c r="FA20" s="370"/>
      <c r="FB20" s="371"/>
      <c r="FC20" s="371"/>
      <c r="FD20" s="370"/>
      <c r="FE20" s="370"/>
      <c r="FF20" s="371"/>
      <c r="FG20" s="371"/>
      <c r="FH20" s="370"/>
      <c r="FI20" s="370"/>
      <c r="FJ20" s="371"/>
      <c r="FK20" s="371"/>
      <c r="FL20" s="370"/>
      <c r="FM20" s="370"/>
      <c r="FN20" s="371"/>
      <c r="FO20" s="371"/>
      <c r="FP20" s="370"/>
      <c r="FQ20" s="370"/>
      <c r="FR20" s="371"/>
      <c r="FS20" s="371"/>
      <c r="FT20" s="370"/>
      <c r="FU20" s="370"/>
      <c r="FV20" s="371"/>
      <c r="FW20" s="371"/>
      <c r="FX20" s="370"/>
      <c r="FY20" s="370"/>
      <c r="FZ20" s="371"/>
      <c r="GA20" s="371"/>
      <c r="GB20" s="370"/>
      <c r="GC20" s="370"/>
      <c r="GD20" s="371"/>
      <c r="GE20" s="371"/>
      <c r="GF20" s="370"/>
      <c r="GG20" s="370"/>
      <c r="GH20" s="371"/>
      <c r="GI20" s="371"/>
      <c r="GJ20" s="370"/>
      <c r="GK20" s="370"/>
      <c r="GL20" s="371"/>
      <c r="GM20" s="371"/>
      <c r="GN20" s="370"/>
      <c r="GO20" s="370"/>
      <c r="GP20" s="371"/>
      <c r="GQ20" s="371"/>
      <c r="GR20" s="370"/>
      <c r="GS20" s="370"/>
    </row>
    <row r="21">
      <c r="A21" s="365" t="s">
        <v>252</v>
      </c>
      <c r="B21" s="365"/>
      <c r="C21" s="365"/>
      <c r="D21" s="365"/>
      <c r="E21" s="365"/>
      <c r="F21" s="365"/>
      <c r="G21" s="365"/>
      <c r="H21" s="365"/>
      <c r="I21" s="365"/>
      <c r="J21" s="365"/>
      <c r="K21" s="365"/>
      <c r="L21" s="365"/>
      <c r="M21" s="365"/>
      <c r="N21" s="365"/>
      <c r="O21" s="365"/>
      <c r="P21" s="365"/>
      <c r="Q21" s="365"/>
      <c r="R21" s="365"/>
      <c r="S21" s="365"/>
      <c r="T21" s="365"/>
      <c r="U21" s="365"/>
      <c r="V21" s="365"/>
      <c r="W21" s="365"/>
      <c r="X21" s="365"/>
      <c r="Y21" s="365"/>
      <c r="Z21" s="365"/>
      <c r="AA21" s="365"/>
      <c r="AB21" s="365"/>
      <c r="AC21" s="365"/>
      <c r="AD21" s="365"/>
      <c r="AE21" s="365"/>
      <c r="AF21" s="365"/>
      <c r="AG21" s="365"/>
      <c r="AH21" s="365"/>
      <c r="AI21" s="365"/>
      <c r="AJ21" s="365"/>
      <c r="AK21" s="365"/>
      <c r="AL21" s="365"/>
      <c r="AM21" s="365"/>
      <c r="AN21" s="365"/>
      <c r="AO21" s="365"/>
      <c r="AP21" s="365"/>
      <c r="AQ21" s="365"/>
      <c r="AR21" s="365"/>
      <c r="AS21" s="365"/>
      <c r="AT21" s="365"/>
      <c r="AU21" s="365"/>
      <c r="AV21" s="365"/>
      <c r="AW21" s="365"/>
      <c r="AX21" s="365"/>
      <c r="AY21" s="365"/>
      <c r="AZ21" s="365"/>
      <c r="BA21" s="365"/>
      <c r="BB21" s="365"/>
      <c r="BC21" s="365"/>
      <c r="BD21" s="365"/>
      <c r="BE21" s="365"/>
      <c r="BF21" s="365"/>
      <c r="BG21" s="365"/>
      <c r="BH21" s="365"/>
      <c r="BI21" s="365"/>
      <c r="BJ21" s="365"/>
      <c r="BK21" s="365"/>
      <c r="BL21" s="365"/>
      <c r="BM21" s="365"/>
      <c r="BN21" s="365"/>
      <c r="BO21" s="365"/>
      <c r="BP21" s="365"/>
      <c r="BQ21" s="365"/>
      <c r="BR21" s="365"/>
      <c r="BS21" s="365"/>
      <c r="BT21" s="365"/>
      <c r="BU21" s="365"/>
      <c r="BV21" s="365"/>
      <c r="BW21" s="365"/>
      <c r="BX21" s="365"/>
      <c r="BY21" s="365"/>
      <c r="BZ21" s="365"/>
      <c r="CA21" s="365"/>
      <c r="CB21" s="365"/>
      <c r="CC21" s="365"/>
      <c r="CD21" s="365"/>
      <c r="CE21" s="365"/>
      <c r="CF21" s="365"/>
      <c r="CG21" s="365"/>
      <c r="CH21" s="365"/>
      <c r="CI21" s="365"/>
      <c r="CJ21" s="365"/>
      <c r="CK21" s="365"/>
      <c r="CL21" s="365"/>
      <c r="CM21" s="365"/>
      <c r="CN21" s="365"/>
      <c r="CO21" s="365"/>
      <c r="CP21" s="365"/>
      <c r="CQ21" s="365"/>
      <c r="CR21" s="365"/>
      <c r="CS21" s="365"/>
      <c r="CT21" s="365"/>
      <c r="CU21" s="365"/>
      <c r="CV21" s="365"/>
      <c r="CW21" s="365"/>
      <c r="CX21" s="365"/>
      <c r="CY21" s="365"/>
      <c r="CZ21" s="365"/>
      <c r="DA21" s="365"/>
      <c r="DB21" s="365"/>
      <c r="DC21" s="365"/>
      <c r="DD21" s="365"/>
      <c r="DE21" s="365"/>
      <c r="DF21" s="365"/>
      <c r="DG21" s="365"/>
      <c r="DH21" s="365"/>
      <c r="DI21" s="365"/>
      <c r="DJ21" s="365"/>
      <c r="DK21" s="365"/>
      <c r="DL21" s="365"/>
      <c r="DM21" s="365"/>
      <c r="DN21" s="365"/>
      <c r="DO21" s="365"/>
      <c r="DP21" s="365"/>
      <c r="DQ21" s="365"/>
      <c r="DR21" s="365"/>
      <c r="DS21" s="365"/>
      <c r="DT21" s="365"/>
      <c r="DU21" s="365"/>
      <c r="DV21" s="365"/>
      <c r="DW21" s="365"/>
      <c r="DX21" s="365"/>
      <c r="DY21" s="365"/>
      <c r="DZ21" s="365"/>
      <c r="EA21" s="365"/>
      <c r="EB21" s="365"/>
      <c r="EC21" s="365"/>
      <c r="ED21" s="365"/>
      <c r="EE21" s="365"/>
      <c r="EF21" s="365"/>
      <c r="EG21" s="365"/>
      <c r="EH21" s="365"/>
      <c r="EI21" s="365"/>
      <c r="EJ21" s="365"/>
      <c r="EK21" s="365"/>
      <c r="EL21" s="365"/>
      <c r="EM21" s="365"/>
      <c r="EN21" s="365"/>
      <c r="EO21" s="365"/>
      <c r="EP21" s="365"/>
      <c r="EQ21" s="365"/>
      <c r="ER21" s="365"/>
      <c r="ES21" s="365"/>
      <c r="ET21" s="365"/>
      <c r="EU21" s="365"/>
      <c r="EV21" s="365"/>
      <c r="EW21" s="365"/>
      <c r="EX21" s="365"/>
      <c r="EY21" s="365"/>
      <c r="EZ21" s="365"/>
      <c r="FA21" s="365"/>
      <c r="FB21" s="365"/>
      <c r="FC21" s="365"/>
      <c r="FD21" s="365"/>
      <c r="FE21" s="365"/>
      <c r="FF21" s="365"/>
      <c r="FG21" s="365"/>
      <c r="FH21" s="365"/>
      <c r="FI21" s="365"/>
      <c r="FJ21" s="365"/>
      <c r="FK21" s="365"/>
      <c r="FL21" s="365"/>
      <c r="FM21" s="365"/>
      <c r="FN21" s="365"/>
      <c r="FO21" s="365"/>
      <c r="FP21" s="365"/>
      <c r="FQ21" s="365"/>
      <c r="FR21" s="365"/>
      <c r="FS21" s="365"/>
      <c r="FT21" s="365"/>
      <c r="FU21" s="365"/>
      <c r="FV21" s="365"/>
      <c r="FW21" s="365"/>
      <c r="FX21" s="365"/>
      <c r="FY21" s="365"/>
      <c r="FZ21" s="365"/>
      <c r="GA21" s="365"/>
      <c r="GB21" s="365"/>
      <c r="GC21" s="365"/>
      <c r="GD21" s="365"/>
      <c r="GE21" s="365"/>
      <c r="GF21" s="365"/>
      <c r="GG21" s="365"/>
      <c r="GH21" s="365"/>
      <c r="GI21" s="365"/>
      <c r="GJ21" s="365"/>
      <c r="GK21" s="365"/>
      <c r="GL21" s="365"/>
      <c r="GM21" s="365"/>
      <c r="GN21" s="365"/>
      <c r="GO21" s="365"/>
      <c r="GP21" s="365"/>
      <c r="GQ21" s="365"/>
      <c r="GR21" s="365"/>
      <c r="GS21" s="365"/>
    </row>
    <row r="22">
      <c r="A22" s="383" t="s">
        <v>249</v>
      </c>
      <c r="B22" s="371"/>
      <c r="C22" s="371"/>
      <c r="D22" s="370"/>
      <c r="E22" s="370"/>
      <c r="F22" s="371"/>
      <c r="G22" s="371"/>
      <c r="H22" s="370"/>
      <c r="I22" s="370"/>
      <c r="J22" s="371"/>
      <c r="K22" s="371"/>
      <c r="L22" s="370"/>
      <c r="M22" s="370"/>
      <c r="N22" s="371"/>
      <c r="O22" s="371"/>
      <c r="P22" s="370"/>
      <c r="Q22" s="370"/>
      <c r="R22" s="371"/>
      <c r="S22" s="371"/>
      <c r="T22" s="370"/>
      <c r="U22" s="370"/>
      <c r="V22" s="371"/>
      <c r="W22" s="371"/>
      <c r="X22" s="370"/>
      <c r="Y22" s="370"/>
      <c r="Z22" s="371"/>
      <c r="AA22" s="371"/>
      <c r="AB22" s="370"/>
      <c r="AC22" s="370"/>
      <c r="AD22" s="371"/>
      <c r="AE22" s="371"/>
      <c r="AF22" s="370"/>
      <c r="AG22" s="370"/>
      <c r="AH22" s="371"/>
      <c r="AI22" s="371"/>
      <c r="AJ22" s="370"/>
      <c r="AK22" s="370"/>
      <c r="AL22" s="371"/>
      <c r="AM22" s="371"/>
      <c r="AN22" s="370"/>
      <c r="AO22" s="370"/>
      <c r="AP22" s="371"/>
      <c r="AQ22" s="371"/>
      <c r="AR22" s="370"/>
      <c r="AS22" s="370"/>
      <c r="AT22" s="371"/>
      <c r="AU22" s="371"/>
      <c r="AV22" s="370"/>
      <c r="AW22" s="370"/>
      <c r="AX22" s="371"/>
      <c r="AY22" s="371"/>
      <c r="AZ22" s="370"/>
      <c r="BA22" s="370"/>
      <c r="BB22" s="371"/>
      <c r="BC22" s="371"/>
      <c r="BD22" s="370"/>
      <c r="BE22" s="370"/>
      <c r="BF22" s="371"/>
      <c r="BG22" s="371"/>
      <c r="BH22" s="370"/>
      <c r="BI22" s="370"/>
      <c r="BJ22" s="371"/>
      <c r="BK22" s="371"/>
      <c r="BL22" s="370"/>
      <c r="BM22" s="370"/>
      <c r="BN22" s="371"/>
      <c r="BO22" s="371"/>
      <c r="BP22" s="370"/>
      <c r="BQ22" s="370"/>
      <c r="BR22" s="371"/>
      <c r="BS22" s="371"/>
      <c r="BT22" s="370"/>
      <c r="BU22" s="370"/>
      <c r="BV22" s="371"/>
      <c r="BW22" s="371"/>
      <c r="BX22" s="370"/>
      <c r="BY22" s="370"/>
      <c r="BZ22" s="371"/>
      <c r="CA22" s="371"/>
      <c r="CB22" s="370"/>
      <c r="CC22" s="370"/>
      <c r="CD22" s="371"/>
      <c r="CE22" s="371"/>
      <c r="CF22" s="370"/>
      <c r="CG22" s="370"/>
      <c r="CH22" s="371"/>
      <c r="CI22" s="371"/>
      <c r="CJ22" s="370"/>
      <c r="CK22" s="370"/>
      <c r="CL22" s="371"/>
      <c r="CM22" s="371"/>
      <c r="CN22" s="370"/>
      <c r="CO22" s="370"/>
      <c r="CP22" s="371"/>
      <c r="CQ22" s="371"/>
      <c r="CR22" s="370"/>
      <c r="CS22" s="370"/>
      <c r="CT22" s="371"/>
      <c r="CU22" s="371"/>
      <c r="CV22" s="370"/>
      <c r="CW22" s="370"/>
      <c r="CX22" s="371"/>
      <c r="CY22" s="371"/>
      <c r="CZ22" s="370"/>
      <c r="DA22" s="370"/>
      <c r="DB22" s="371"/>
      <c r="DC22" s="371"/>
      <c r="DD22" s="370"/>
      <c r="DE22" s="370"/>
      <c r="DF22" s="371"/>
      <c r="DG22" s="371"/>
      <c r="DH22" s="370"/>
      <c r="DI22" s="370"/>
      <c r="DJ22" s="371"/>
      <c r="DK22" s="371"/>
      <c r="DL22" s="370"/>
      <c r="DM22" s="370"/>
      <c r="DN22" s="371"/>
      <c r="DO22" s="371"/>
      <c r="DP22" s="370"/>
      <c r="DQ22" s="370"/>
      <c r="DR22" s="371"/>
      <c r="DS22" s="371"/>
      <c r="DT22" s="370"/>
      <c r="DU22" s="370"/>
      <c r="DV22" s="371"/>
      <c r="DW22" s="371"/>
      <c r="DX22" s="370"/>
      <c r="DY22" s="370"/>
      <c r="DZ22" s="371"/>
      <c r="EA22" s="371"/>
      <c r="EB22" s="370"/>
      <c r="EC22" s="370"/>
      <c r="ED22" s="371"/>
      <c r="EE22" s="371"/>
      <c r="EF22" s="370"/>
      <c r="EG22" s="370"/>
      <c r="EH22" s="371"/>
      <c r="EI22" s="371"/>
      <c r="EJ22" s="370"/>
      <c r="EK22" s="370"/>
      <c r="EL22" s="371"/>
      <c r="EM22" s="371"/>
      <c r="EN22" s="370"/>
      <c r="EO22" s="370"/>
      <c r="EP22" s="371"/>
      <c r="EQ22" s="371"/>
      <c r="ER22" s="370"/>
      <c r="ES22" s="370"/>
      <c r="ET22" s="371"/>
      <c r="EU22" s="371"/>
      <c r="EV22" s="370"/>
      <c r="EW22" s="370"/>
      <c r="EX22" s="371"/>
      <c r="EY22" s="371"/>
      <c r="EZ22" s="370"/>
      <c r="FA22" s="370"/>
      <c r="FB22" s="371"/>
      <c r="FC22" s="371"/>
      <c r="FD22" s="370"/>
      <c r="FE22" s="370"/>
      <c r="FF22" s="371"/>
      <c r="FG22" s="371"/>
      <c r="FH22" s="370"/>
      <c r="FI22" s="370"/>
      <c r="FJ22" s="371"/>
      <c r="FK22" s="371"/>
      <c r="FL22" s="370"/>
      <c r="FM22" s="370"/>
      <c r="FN22" s="371"/>
      <c r="FO22" s="371"/>
      <c r="FP22" s="370"/>
      <c r="FQ22" s="370"/>
      <c r="FR22" s="371"/>
      <c r="FS22" s="371"/>
      <c r="FT22" s="370"/>
      <c r="FU22" s="370"/>
      <c r="FV22" s="371"/>
      <c r="FW22" s="371"/>
      <c r="FX22" s="370"/>
      <c r="FY22" s="370"/>
      <c r="FZ22" s="371"/>
      <c r="GA22" s="371"/>
      <c r="GB22" s="370"/>
      <c r="GC22" s="370"/>
      <c r="GD22" s="371"/>
      <c r="GE22" s="371"/>
      <c r="GF22" s="370"/>
      <c r="GG22" s="370"/>
      <c r="GH22" s="371"/>
      <c r="GI22" s="371"/>
      <c r="GJ22" s="370"/>
      <c r="GK22" s="370"/>
      <c r="GL22" s="371"/>
      <c r="GM22" s="371"/>
      <c r="GN22" s="370"/>
      <c r="GO22" s="370"/>
      <c r="GP22" s="371"/>
      <c r="GQ22" s="371"/>
      <c r="GR22" s="370"/>
      <c r="GS22" s="370"/>
    </row>
    <row r="23">
      <c r="A23" s="383" t="s">
        <v>250</v>
      </c>
      <c r="B23" s="371"/>
      <c r="C23" s="371"/>
      <c r="D23" s="370"/>
      <c r="E23" s="370"/>
      <c r="F23" s="371"/>
      <c r="G23" s="371"/>
      <c r="H23" s="370"/>
      <c r="I23" s="370"/>
      <c r="J23" s="371"/>
      <c r="K23" s="371"/>
      <c r="L23" s="370"/>
      <c r="M23" s="370"/>
      <c r="N23" s="371"/>
      <c r="O23" s="371"/>
      <c r="P23" s="370"/>
      <c r="Q23" s="370"/>
      <c r="R23" s="371"/>
      <c r="S23" s="371"/>
      <c r="T23" s="370"/>
      <c r="U23" s="370"/>
      <c r="V23" s="371"/>
      <c r="W23" s="371"/>
      <c r="X23" s="370"/>
      <c r="Y23" s="370"/>
      <c r="Z23" s="371"/>
      <c r="AA23" s="371"/>
      <c r="AB23" s="370"/>
      <c r="AC23" s="370"/>
      <c r="AD23" s="371"/>
      <c r="AE23" s="371"/>
      <c r="AF23" s="370"/>
      <c r="AG23" s="370"/>
      <c r="AH23" s="371"/>
      <c r="AI23" s="371"/>
      <c r="AJ23" s="370"/>
      <c r="AK23" s="370"/>
      <c r="AL23" s="371"/>
      <c r="AM23" s="371"/>
      <c r="AN23" s="370"/>
      <c r="AO23" s="370"/>
      <c r="AP23" s="371"/>
      <c r="AQ23" s="371"/>
      <c r="AR23" s="370"/>
      <c r="AS23" s="370"/>
      <c r="AT23" s="371"/>
      <c r="AU23" s="371"/>
      <c r="AV23" s="370"/>
      <c r="AW23" s="370"/>
      <c r="AX23" s="371"/>
      <c r="AY23" s="371"/>
      <c r="AZ23" s="370"/>
      <c r="BA23" s="370"/>
      <c r="BB23" s="371"/>
      <c r="BC23" s="371"/>
      <c r="BD23" s="370"/>
      <c r="BE23" s="370"/>
      <c r="BF23" s="371"/>
      <c r="BG23" s="371"/>
      <c r="BH23" s="370"/>
      <c r="BI23" s="370"/>
      <c r="BJ23" s="371"/>
      <c r="BK23" s="371"/>
      <c r="BL23" s="370"/>
      <c r="BM23" s="370"/>
      <c r="BN23" s="371"/>
      <c r="BO23" s="371"/>
      <c r="BP23" s="370"/>
      <c r="BQ23" s="370"/>
      <c r="BR23" s="371"/>
      <c r="BS23" s="371"/>
      <c r="BT23" s="370"/>
      <c r="BU23" s="370"/>
      <c r="BV23" s="371"/>
      <c r="BW23" s="371"/>
      <c r="BX23" s="370"/>
      <c r="BY23" s="370"/>
      <c r="BZ23" s="371"/>
      <c r="CA23" s="371"/>
      <c r="CB23" s="370"/>
      <c r="CC23" s="370"/>
      <c r="CD23" s="371"/>
      <c r="CE23" s="371"/>
      <c r="CF23" s="370"/>
      <c r="CG23" s="370"/>
      <c r="CH23" s="371"/>
      <c r="CI23" s="371"/>
      <c r="CJ23" s="370"/>
      <c r="CK23" s="370"/>
      <c r="CL23" s="371"/>
      <c r="CM23" s="371"/>
      <c r="CN23" s="370"/>
      <c r="CO23" s="370"/>
      <c r="CP23" s="371"/>
      <c r="CQ23" s="371"/>
      <c r="CR23" s="370"/>
      <c r="CS23" s="370"/>
      <c r="CT23" s="371"/>
      <c r="CU23" s="371"/>
      <c r="CV23" s="370"/>
      <c r="CW23" s="370"/>
      <c r="CX23" s="371"/>
      <c r="CY23" s="371"/>
      <c r="CZ23" s="370"/>
      <c r="DA23" s="370"/>
      <c r="DB23" s="371"/>
      <c r="DC23" s="371"/>
      <c r="DD23" s="370"/>
      <c r="DE23" s="370"/>
      <c r="DF23" s="371"/>
      <c r="DG23" s="371"/>
      <c r="DH23" s="370"/>
      <c r="DI23" s="370"/>
      <c r="DJ23" s="371"/>
      <c r="DK23" s="371"/>
      <c r="DL23" s="370"/>
      <c r="DM23" s="370"/>
      <c r="DN23" s="371"/>
      <c r="DO23" s="371"/>
      <c r="DP23" s="370"/>
      <c r="DQ23" s="370"/>
      <c r="DR23" s="371"/>
      <c r="DS23" s="371"/>
      <c r="DT23" s="370"/>
      <c r="DU23" s="370"/>
      <c r="DV23" s="371"/>
      <c r="DW23" s="371"/>
      <c r="DX23" s="370"/>
      <c r="DY23" s="370"/>
      <c r="DZ23" s="371"/>
      <c r="EA23" s="371"/>
      <c r="EB23" s="370"/>
      <c r="EC23" s="370"/>
      <c r="ED23" s="371"/>
      <c r="EE23" s="371"/>
      <c r="EF23" s="370"/>
      <c r="EG23" s="370"/>
      <c r="EH23" s="371"/>
      <c r="EI23" s="371"/>
      <c r="EJ23" s="370"/>
      <c r="EK23" s="370"/>
      <c r="EL23" s="371"/>
      <c r="EM23" s="371"/>
      <c r="EN23" s="370"/>
      <c r="EO23" s="370"/>
      <c r="EP23" s="371"/>
      <c r="EQ23" s="371"/>
      <c r="ER23" s="370"/>
      <c r="ES23" s="370"/>
      <c r="ET23" s="371"/>
      <c r="EU23" s="371"/>
      <c r="EV23" s="370"/>
      <c r="EW23" s="370"/>
      <c r="EX23" s="371"/>
      <c r="EY23" s="371"/>
      <c r="EZ23" s="370"/>
      <c r="FA23" s="370"/>
      <c r="FB23" s="371"/>
      <c r="FC23" s="371"/>
      <c r="FD23" s="370"/>
      <c r="FE23" s="370"/>
      <c r="FF23" s="371"/>
      <c r="FG23" s="371"/>
      <c r="FH23" s="370"/>
      <c r="FI23" s="370"/>
      <c r="FJ23" s="371"/>
      <c r="FK23" s="371"/>
      <c r="FL23" s="370"/>
      <c r="FM23" s="370"/>
      <c r="FN23" s="371"/>
      <c r="FO23" s="371"/>
      <c r="FP23" s="370"/>
      <c r="FQ23" s="370"/>
      <c r="FR23" s="371"/>
      <c r="FS23" s="371"/>
      <c r="FT23" s="370"/>
      <c r="FU23" s="370"/>
      <c r="FV23" s="371"/>
      <c r="FW23" s="371"/>
      <c r="FX23" s="370"/>
      <c r="FY23" s="370"/>
      <c r="FZ23" s="371"/>
      <c r="GA23" s="371"/>
      <c r="GB23" s="370"/>
      <c r="GC23" s="370"/>
      <c r="GD23" s="371"/>
      <c r="GE23" s="371"/>
      <c r="GF23" s="370"/>
      <c r="GG23" s="370"/>
      <c r="GH23" s="371"/>
      <c r="GI23" s="371"/>
      <c r="GJ23" s="370"/>
      <c r="GK23" s="370"/>
      <c r="GL23" s="371"/>
      <c r="GM23" s="371"/>
      <c r="GN23" s="370"/>
      <c r="GO23" s="370"/>
      <c r="GP23" s="371"/>
      <c r="GQ23" s="371"/>
      <c r="GR23" s="370"/>
      <c r="GS23" s="370"/>
    </row>
    <row r="24">
      <c r="A24" s="383" t="s">
        <v>251</v>
      </c>
      <c r="B24" s="371"/>
      <c r="C24" s="371"/>
      <c r="D24" s="370"/>
      <c r="E24" s="370"/>
      <c r="F24" s="371"/>
      <c r="G24" s="371"/>
      <c r="H24" s="370"/>
      <c r="I24" s="370"/>
      <c r="J24" s="371"/>
      <c r="K24" s="371"/>
      <c r="L24" s="370"/>
      <c r="M24" s="370"/>
      <c r="N24" s="371"/>
      <c r="O24" s="371"/>
      <c r="P24" s="370"/>
      <c r="Q24" s="370"/>
      <c r="R24" s="371"/>
      <c r="S24" s="371"/>
      <c r="T24" s="370"/>
      <c r="U24" s="370"/>
      <c r="V24" s="371"/>
      <c r="W24" s="371"/>
      <c r="X24" s="370"/>
      <c r="Y24" s="370"/>
      <c r="Z24" s="371"/>
      <c r="AA24" s="371"/>
      <c r="AB24" s="370"/>
      <c r="AC24" s="370"/>
      <c r="AD24" s="371"/>
      <c r="AE24" s="371"/>
      <c r="AF24" s="370"/>
      <c r="AG24" s="370"/>
      <c r="AH24" s="371"/>
      <c r="AI24" s="371"/>
      <c r="AJ24" s="370"/>
      <c r="AK24" s="370"/>
      <c r="AL24" s="371"/>
      <c r="AM24" s="371"/>
      <c r="AN24" s="370"/>
      <c r="AO24" s="370"/>
      <c r="AP24" s="371"/>
      <c r="AQ24" s="371"/>
      <c r="AR24" s="370"/>
      <c r="AS24" s="370"/>
      <c r="AT24" s="371"/>
      <c r="AU24" s="371"/>
      <c r="AV24" s="370"/>
      <c r="AW24" s="370"/>
      <c r="AX24" s="371"/>
      <c r="AY24" s="371"/>
      <c r="AZ24" s="370"/>
      <c r="BA24" s="370"/>
      <c r="BB24" s="371"/>
      <c r="BC24" s="371"/>
      <c r="BD24" s="370"/>
      <c r="BE24" s="370"/>
      <c r="BF24" s="371"/>
      <c r="BG24" s="371"/>
      <c r="BH24" s="370"/>
      <c r="BI24" s="370"/>
      <c r="BJ24" s="371"/>
      <c r="BK24" s="371"/>
      <c r="BL24" s="370"/>
      <c r="BM24" s="370"/>
      <c r="BN24" s="371"/>
      <c r="BO24" s="371"/>
      <c r="BP24" s="370"/>
      <c r="BQ24" s="370"/>
      <c r="BR24" s="371"/>
      <c r="BS24" s="371"/>
      <c r="BT24" s="370"/>
      <c r="BU24" s="370"/>
      <c r="BV24" s="371"/>
      <c r="BW24" s="371"/>
      <c r="BX24" s="370"/>
      <c r="BY24" s="370"/>
      <c r="BZ24" s="371"/>
      <c r="CA24" s="371"/>
      <c r="CB24" s="370"/>
      <c r="CC24" s="370"/>
      <c r="CD24" s="371"/>
      <c r="CE24" s="371"/>
      <c r="CF24" s="370"/>
      <c r="CG24" s="370"/>
      <c r="CH24" s="371"/>
      <c r="CI24" s="371"/>
      <c r="CJ24" s="370"/>
      <c r="CK24" s="370"/>
      <c r="CL24" s="371"/>
      <c r="CM24" s="371"/>
      <c r="CN24" s="370"/>
      <c r="CO24" s="370"/>
      <c r="CP24" s="371"/>
      <c r="CQ24" s="371"/>
      <c r="CR24" s="370"/>
      <c r="CS24" s="370"/>
      <c r="CT24" s="371"/>
      <c r="CU24" s="371"/>
      <c r="CV24" s="370"/>
      <c r="CW24" s="370"/>
      <c r="CX24" s="371"/>
      <c r="CY24" s="371"/>
      <c r="CZ24" s="370"/>
      <c r="DA24" s="370"/>
      <c r="DB24" s="371"/>
      <c r="DC24" s="371"/>
      <c r="DD24" s="370"/>
      <c r="DE24" s="370"/>
      <c r="DF24" s="371"/>
      <c r="DG24" s="371"/>
      <c r="DH24" s="370"/>
      <c r="DI24" s="370"/>
      <c r="DJ24" s="371"/>
      <c r="DK24" s="371"/>
      <c r="DL24" s="370"/>
      <c r="DM24" s="370"/>
      <c r="DN24" s="371"/>
      <c r="DO24" s="371"/>
      <c r="DP24" s="370"/>
      <c r="DQ24" s="370"/>
      <c r="DR24" s="371"/>
      <c r="DS24" s="371"/>
      <c r="DT24" s="370"/>
      <c r="DU24" s="370"/>
      <c r="DV24" s="371"/>
      <c r="DW24" s="371"/>
      <c r="DX24" s="370"/>
      <c r="DY24" s="370"/>
      <c r="DZ24" s="371"/>
      <c r="EA24" s="371"/>
      <c r="EB24" s="370"/>
      <c r="EC24" s="370"/>
      <c r="ED24" s="371"/>
      <c r="EE24" s="371"/>
      <c r="EF24" s="370"/>
      <c r="EG24" s="370"/>
      <c r="EH24" s="371"/>
      <c r="EI24" s="371"/>
      <c r="EJ24" s="370"/>
      <c r="EK24" s="370"/>
      <c r="EL24" s="371"/>
      <c r="EM24" s="371"/>
      <c r="EN24" s="370"/>
      <c r="EO24" s="370"/>
      <c r="EP24" s="371"/>
      <c r="EQ24" s="371"/>
      <c r="ER24" s="370"/>
      <c r="ES24" s="370"/>
      <c r="ET24" s="371"/>
      <c r="EU24" s="371"/>
      <c r="EV24" s="370"/>
      <c r="EW24" s="370"/>
      <c r="EX24" s="371"/>
      <c r="EY24" s="371"/>
      <c r="EZ24" s="370"/>
      <c r="FA24" s="370"/>
      <c r="FB24" s="371"/>
      <c r="FC24" s="371"/>
      <c r="FD24" s="370"/>
      <c r="FE24" s="370"/>
      <c r="FF24" s="371"/>
      <c r="FG24" s="371"/>
      <c r="FH24" s="370"/>
      <c r="FI24" s="370"/>
      <c r="FJ24" s="371"/>
      <c r="FK24" s="371"/>
      <c r="FL24" s="370"/>
      <c r="FM24" s="370"/>
      <c r="FN24" s="371"/>
      <c r="FO24" s="371"/>
      <c r="FP24" s="370"/>
      <c r="FQ24" s="370"/>
      <c r="FR24" s="371"/>
      <c r="FS24" s="371"/>
      <c r="FT24" s="370"/>
      <c r="FU24" s="370"/>
      <c r="FV24" s="371"/>
      <c r="FW24" s="371"/>
      <c r="FX24" s="370"/>
      <c r="FY24" s="370"/>
      <c r="FZ24" s="371"/>
      <c r="GA24" s="371"/>
      <c r="GB24" s="370"/>
      <c r="GC24" s="370"/>
      <c r="GD24" s="371"/>
      <c r="GE24" s="371"/>
      <c r="GF24" s="370"/>
      <c r="GG24" s="370"/>
      <c r="GH24" s="371"/>
      <c r="GI24" s="371"/>
      <c r="GJ24" s="370"/>
      <c r="GK24" s="370"/>
      <c r="GL24" s="371"/>
      <c r="GM24" s="371"/>
      <c r="GN24" s="370"/>
      <c r="GO24" s="370"/>
      <c r="GP24" s="371"/>
      <c r="GQ24" s="371"/>
      <c r="GR24" s="370"/>
      <c r="GS24" s="370"/>
    </row>
    <row r="25">
      <c r="A25" s="365" t="s">
        <v>253</v>
      </c>
      <c r="B25" s="365"/>
      <c r="C25" s="365"/>
      <c r="D25" s="365"/>
      <c r="E25" s="365"/>
      <c r="F25" s="365"/>
      <c r="G25" s="365"/>
      <c r="H25" s="365"/>
      <c r="I25" s="365"/>
      <c r="J25" s="365"/>
      <c r="K25" s="365"/>
      <c r="L25" s="365"/>
      <c r="M25" s="365"/>
      <c r="N25" s="365"/>
      <c r="O25" s="365"/>
      <c r="P25" s="365"/>
      <c r="Q25" s="365"/>
      <c r="R25" s="365"/>
      <c r="S25" s="365"/>
      <c r="T25" s="365"/>
      <c r="U25" s="365"/>
      <c r="V25" s="365"/>
      <c r="W25" s="365"/>
      <c r="X25" s="365"/>
      <c r="Y25" s="365"/>
      <c r="Z25" s="365"/>
      <c r="AA25" s="365"/>
      <c r="AB25" s="365"/>
      <c r="AC25" s="365"/>
      <c r="AD25" s="365"/>
      <c r="AE25" s="365"/>
      <c r="AF25" s="365"/>
      <c r="AG25" s="365"/>
      <c r="AH25" s="365"/>
      <c r="AI25" s="365"/>
      <c r="AJ25" s="365"/>
      <c r="AK25" s="365"/>
      <c r="AL25" s="365"/>
      <c r="AM25" s="365"/>
      <c r="AN25" s="365"/>
      <c r="AO25" s="365"/>
      <c r="AP25" s="365"/>
      <c r="AQ25" s="365"/>
      <c r="AR25" s="365"/>
      <c r="AS25" s="365"/>
      <c r="AT25" s="365"/>
      <c r="AU25" s="365"/>
      <c r="AV25" s="365"/>
      <c r="AW25" s="365"/>
      <c r="AX25" s="365"/>
      <c r="AY25" s="365"/>
      <c r="AZ25" s="365"/>
      <c r="BA25" s="365"/>
      <c r="BB25" s="365"/>
      <c r="BC25" s="365"/>
      <c r="BD25" s="365"/>
      <c r="BE25" s="365"/>
      <c r="BF25" s="365"/>
      <c r="BG25" s="365"/>
      <c r="BH25" s="365"/>
      <c r="BI25" s="365"/>
      <c r="BJ25" s="365"/>
      <c r="BK25" s="365"/>
      <c r="BL25" s="365"/>
      <c r="BM25" s="365"/>
      <c r="BN25" s="365"/>
      <c r="BO25" s="365"/>
      <c r="BP25" s="365"/>
      <c r="BQ25" s="365"/>
      <c r="BR25" s="365"/>
      <c r="BS25" s="365"/>
      <c r="BT25" s="365"/>
      <c r="BU25" s="365"/>
      <c r="BV25" s="365"/>
      <c r="BW25" s="365"/>
      <c r="BX25" s="365"/>
      <c r="BY25" s="365"/>
      <c r="BZ25" s="365"/>
      <c r="CA25" s="365"/>
      <c r="CB25" s="365"/>
      <c r="CC25" s="365"/>
      <c r="CD25" s="365"/>
      <c r="CE25" s="365"/>
      <c r="CF25" s="365"/>
      <c r="CG25" s="365"/>
      <c r="CH25" s="365"/>
      <c r="CI25" s="365"/>
      <c r="CJ25" s="365"/>
      <c r="CK25" s="365"/>
      <c r="CL25" s="365"/>
      <c r="CM25" s="365"/>
      <c r="CN25" s="365"/>
      <c r="CO25" s="365"/>
      <c r="CP25" s="365"/>
      <c r="CQ25" s="365"/>
      <c r="CR25" s="365"/>
      <c r="CS25" s="365"/>
      <c r="CT25" s="365"/>
      <c r="CU25" s="365"/>
      <c r="CV25" s="365"/>
      <c r="CW25" s="365"/>
      <c r="CX25" s="365"/>
      <c r="CY25" s="365"/>
      <c r="CZ25" s="365"/>
      <c r="DA25" s="365"/>
      <c r="DB25" s="365"/>
      <c r="DC25" s="365"/>
      <c r="DD25" s="365"/>
      <c r="DE25" s="365"/>
      <c r="DF25" s="365"/>
      <c r="DG25" s="365"/>
      <c r="DH25" s="365"/>
      <c r="DI25" s="365"/>
      <c r="DJ25" s="365"/>
      <c r="DK25" s="365"/>
      <c r="DL25" s="365"/>
      <c r="DM25" s="365"/>
      <c r="DN25" s="365"/>
      <c r="DO25" s="365"/>
      <c r="DP25" s="365"/>
      <c r="DQ25" s="365"/>
      <c r="DR25" s="365"/>
      <c r="DS25" s="365"/>
      <c r="DT25" s="365"/>
      <c r="DU25" s="365"/>
      <c r="DV25" s="365"/>
      <c r="DW25" s="365"/>
      <c r="DX25" s="365"/>
      <c r="DY25" s="365"/>
      <c r="DZ25" s="365"/>
      <c r="EA25" s="365"/>
      <c r="EB25" s="365"/>
      <c r="EC25" s="365"/>
      <c r="ED25" s="365"/>
      <c r="EE25" s="365"/>
      <c r="EF25" s="365"/>
      <c r="EG25" s="365"/>
      <c r="EH25" s="365"/>
      <c r="EI25" s="365"/>
      <c r="EJ25" s="365"/>
      <c r="EK25" s="365"/>
      <c r="EL25" s="365"/>
      <c r="EM25" s="365"/>
      <c r="EN25" s="365"/>
      <c r="EO25" s="365"/>
      <c r="EP25" s="365"/>
      <c r="EQ25" s="365"/>
      <c r="ER25" s="365"/>
      <c r="ES25" s="365"/>
      <c r="ET25" s="365"/>
      <c r="EU25" s="365"/>
      <c r="EV25" s="365"/>
      <c r="EW25" s="365"/>
      <c r="EX25" s="365"/>
      <c r="EY25" s="365"/>
      <c r="EZ25" s="365"/>
      <c r="FA25" s="365"/>
      <c r="FB25" s="365"/>
      <c r="FC25" s="365"/>
      <c r="FD25" s="365"/>
      <c r="FE25" s="365"/>
      <c r="FF25" s="365"/>
      <c r="FG25" s="365"/>
      <c r="FH25" s="365"/>
      <c r="FI25" s="365"/>
      <c r="FJ25" s="365"/>
      <c r="FK25" s="365"/>
      <c r="FL25" s="365"/>
      <c r="FM25" s="365"/>
      <c r="FN25" s="365"/>
      <c r="FO25" s="365"/>
      <c r="FP25" s="365"/>
      <c r="FQ25" s="365"/>
      <c r="FR25" s="365"/>
      <c r="FS25" s="365"/>
      <c r="FT25" s="365"/>
      <c r="FU25" s="365"/>
      <c r="FV25" s="365"/>
      <c r="FW25" s="365"/>
      <c r="FX25" s="365"/>
      <c r="FY25" s="365"/>
      <c r="FZ25" s="365"/>
      <c r="GA25" s="365"/>
      <c r="GB25" s="365"/>
      <c r="GC25" s="365"/>
      <c r="GD25" s="365"/>
      <c r="GE25" s="365"/>
      <c r="GF25" s="365"/>
      <c r="GG25" s="365"/>
      <c r="GH25" s="365"/>
      <c r="GI25" s="365"/>
      <c r="GJ25" s="365"/>
      <c r="GK25" s="365"/>
      <c r="GL25" s="365"/>
      <c r="GM25" s="365"/>
      <c r="GN25" s="365"/>
      <c r="GO25" s="365"/>
      <c r="GP25" s="365"/>
      <c r="GQ25" s="365"/>
      <c r="GR25" s="365"/>
      <c r="GS25" s="365"/>
    </row>
    <row r="26">
      <c r="A26" s="380" t="s">
        <v>254</v>
      </c>
      <c r="B26" s="371"/>
      <c r="C26" s="371"/>
      <c r="D26" s="370"/>
      <c r="E26" s="370"/>
      <c r="F26" s="371"/>
      <c r="G26" s="371"/>
      <c r="H26" s="370"/>
      <c r="I26" s="370"/>
      <c r="J26" s="371"/>
      <c r="K26" s="371"/>
      <c r="L26" s="370"/>
      <c r="M26" s="370"/>
      <c r="N26" s="371"/>
      <c r="O26" s="371"/>
      <c r="P26" s="370"/>
      <c r="Q26" s="370"/>
      <c r="R26" s="371"/>
      <c r="S26" s="371"/>
      <c r="T26" s="370"/>
      <c r="U26" s="370"/>
      <c r="V26" s="371"/>
      <c r="W26" s="371"/>
      <c r="X26" s="370"/>
      <c r="Y26" s="370"/>
      <c r="Z26" s="371"/>
      <c r="AA26" s="371"/>
      <c r="AB26" s="370"/>
      <c r="AC26" s="370"/>
      <c r="AD26" s="371"/>
      <c r="AE26" s="371"/>
      <c r="AF26" s="370"/>
      <c r="AG26" s="370"/>
      <c r="AH26" s="371"/>
      <c r="AI26" s="371"/>
      <c r="AJ26" s="370"/>
      <c r="AK26" s="370"/>
      <c r="AL26" s="371"/>
      <c r="AM26" s="371"/>
      <c r="AN26" s="370"/>
      <c r="AO26" s="370"/>
      <c r="AP26" s="371"/>
      <c r="AQ26" s="371"/>
      <c r="AR26" s="370"/>
      <c r="AS26" s="370"/>
      <c r="AT26" s="371"/>
      <c r="AU26" s="371"/>
      <c r="AV26" s="370"/>
      <c r="AW26" s="370"/>
      <c r="AX26" s="371"/>
      <c r="AY26" s="371"/>
      <c r="AZ26" s="370"/>
      <c r="BA26" s="370"/>
      <c r="BB26" s="371"/>
      <c r="BC26" s="371"/>
      <c r="BD26" s="370"/>
      <c r="BE26" s="370"/>
      <c r="BF26" s="371"/>
      <c r="BG26" s="371"/>
      <c r="BH26" s="370"/>
      <c r="BI26" s="370"/>
      <c r="BJ26" s="371"/>
      <c r="BK26" s="371"/>
      <c r="BL26" s="370"/>
      <c r="BM26" s="370"/>
      <c r="BN26" s="371"/>
      <c r="BO26" s="371"/>
      <c r="BP26" s="370"/>
      <c r="BQ26" s="370"/>
      <c r="BR26" s="371"/>
      <c r="BS26" s="371"/>
      <c r="BT26" s="370"/>
      <c r="BU26" s="370"/>
      <c r="BV26" s="371"/>
      <c r="BW26" s="371"/>
      <c r="BX26" s="370"/>
      <c r="BY26" s="370"/>
      <c r="BZ26" s="371"/>
      <c r="CA26" s="371"/>
      <c r="CB26" s="370"/>
      <c r="CC26" s="370"/>
      <c r="CD26" s="371"/>
      <c r="CE26" s="371"/>
      <c r="CF26" s="370"/>
      <c r="CG26" s="370"/>
      <c r="CH26" s="371"/>
      <c r="CI26" s="371"/>
      <c r="CJ26" s="370"/>
      <c r="CK26" s="370"/>
      <c r="CL26" s="371"/>
      <c r="CM26" s="371"/>
      <c r="CN26" s="370"/>
      <c r="CO26" s="370"/>
      <c r="CP26" s="371"/>
      <c r="CQ26" s="371"/>
      <c r="CR26" s="370"/>
      <c r="CS26" s="370"/>
      <c r="CT26" s="371"/>
      <c r="CU26" s="371"/>
      <c r="CV26" s="370"/>
      <c r="CW26" s="370"/>
      <c r="CX26" s="371"/>
      <c r="CY26" s="371"/>
      <c r="CZ26" s="370"/>
      <c r="DA26" s="370"/>
      <c r="DB26" s="371"/>
      <c r="DC26" s="371"/>
      <c r="DD26" s="370"/>
      <c r="DE26" s="370"/>
      <c r="DF26" s="371"/>
      <c r="DG26" s="371"/>
      <c r="DH26" s="370"/>
      <c r="DI26" s="370"/>
      <c r="DJ26" s="371"/>
      <c r="DK26" s="371"/>
      <c r="DL26" s="370"/>
      <c r="DM26" s="370"/>
      <c r="DN26" s="371"/>
      <c r="DO26" s="371"/>
      <c r="DP26" s="370"/>
      <c r="DQ26" s="370"/>
      <c r="DR26" s="371"/>
      <c r="DS26" s="371"/>
      <c r="DT26" s="370"/>
      <c r="DU26" s="370"/>
      <c r="DV26" s="371"/>
      <c r="DW26" s="371"/>
      <c r="DX26" s="370"/>
      <c r="DY26" s="370"/>
      <c r="DZ26" s="371"/>
      <c r="EA26" s="371"/>
      <c r="EB26" s="370"/>
      <c r="EC26" s="370"/>
      <c r="ED26" s="371"/>
      <c r="EE26" s="371"/>
      <c r="EF26" s="370"/>
      <c r="EG26" s="370"/>
      <c r="EH26" s="371"/>
      <c r="EI26" s="371"/>
      <c r="EJ26" s="370"/>
      <c r="EK26" s="370"/>
      <c r="EL26" s="371"/>
      <c r="EM26" s="371"/>
      <c r="EN26" s="370"/>
      <c r="EO26" s="370"/>
      <c r="EP26" s="371"/>
      <c r="EQ26" s="371"/>
      <c r="ER26" s="370"/>
      <c r="ES26" s="370"/>
      <c r="ET26" s="371"/>
      <c r="EU26" s="371"/>
      <c r="EV26" s="370"/>
      <c r="EW26" s="370"/>
      <c r="EX26" s="371"/>
      <c r="EY26" s="371"/>
      <c r="EZ26" s="370"/>
      <c r="FA26" s="370"/>
      <c r="FB26" s="371"/>
      <c r="FC26" s="371"/>
      <c r="FD26" s="370"/>
      <c r="FE26" s="370"/>
      <c r="FF26" s="371"/>
      <c r="FG26" s="371"/>
      <c r="FH26" s="370"/>
      <c r="FI26" s="370"/>
      <c r="FJ26" s="371"/>
      <c r="FK26" s="371"/>
      <c r="FL26" s="370"/>
      <c r="FM26" s="370"/>
      <c r="FN26" s="371"/>
      <c r="FO26" s="371"/>
      <c r="FP26" s="370"/>
      <c r="FQ26" s="370"/>
      <c r="FR26" s="371"/>
      <c r="FS26" s="371"/>
      <c r="FT26" s="370"/>
      <c r="FU26" s="370"/>
      <c r="FV26" s="371"/>
      <c r="FW26" s="371"/>
      <c r="FX26" s="370"/>
      <c r="FY26" s="370"/>
      <c r="FZ26" s="371"/>
      <c r="GA26" s="371"/>
      <c r="GB26" s="370"/>
      <c r="GC26" s="370"/>
      <c r="GD26" s="371"/>
      <c r="GE26" s="371"/>
      <c r="GF26" s="370"/>
      <c r="GG26" s="370"/>
      <c r="GH26" s="371"/>
      <c r="GI26" s="371"/>
      <c r="GJ26" s="370"/>
      <c r="GK26" s="370"/>
      <c r="GL26" s="371"/>
      <c r="GM26" s="371"/>
      <c r="GN26" s="370"/>
      <c r="GO26" s="370"/>
      <c r="GP26" s="371"/>
      <c r="GQ26" s="371"/>
      <c r="GR26" s="370"/>
      <c r="GS26" s="370"/>
    </row>
    <row r="27">
      <c r="A27" s="380" t="s">
        <v>255</v>
      </c>
      <c r="B27" s="371"/>
      <c r="C27" s="371"/>
      <c r="D27" s="370"/>
      <c r="E27" s="370"/>
      <c r="F27" s="371"/>
      <c r="G27" s="371"/>
      <c r="H27" s="370"/>
      <c r="I27" s="370"/>
      <c r="J27" s="371"/>
      <c r="K27" s="371"/>
      <c r="L27" s="370"/>
      <c r="M27" s="370"/>
      <c r="N27" s="371"/>
      <c r="O27" s="371"/>
      <c r="P27" s="370"/>
      <c r="Q27" s="370"/>
      <c r="R27" s="371"/>
      <c r="S27" s="371"/>
      <c r="T27" s="370"/>
      <c r="U27" s="370"/>
      <c r="V27" s="371"/>
      <c r="W27" s="371"/>
      <c r="X27" s="370"/>
      <c r="Y27" s="370"/>
      <c r="Z27" s="371"/>
      <c r="AA27" s="371"/>
      <c r="AB27" s="370"/>
      <c r="AC27" s="370"/>
      <c r="AD27" s="371"/>
      <c r="AE27" s="371"/>
      <c r="AF27" s="370"/>
      <c r="AG27" s="370"/>
      <c r="AH27" s="371"/>
      <c r="AI27" s="371"/>
      <c r="AJ27" s="370"/>
      <c r="AK27" s="370"/>
      <c r="AL27" s="371"/>
      <c r="AM27" s="371"/>
      <c r="AN27" s="370"/>
      <c r="AO27" s="370"/>
      <c r="AP27" s="371"/>
      <c r="AQ27" s="371"/>
      <c r="AR27" s="370"/>
      <c r="AS27" s="370"/>
      <c r="AT27" s="371"/>
      <c r="AU27" s="371"/>
      <c r="AV27" s="370"/>
      <c r="AW27" s="370"/>
      <c r="AX27" s="371"/>
      <c r="AY27" s="371"/>
      <c r="AZ27" s="370"/>
      <c r="BA27" s="370"/>
      <c r="BB27" s="371"/>
      <c r="BC27" s="371"/>
      <c r="BD27" s="370"/>
      <c r="BE27" s="370"/>
      <c r="BF27" s="371"/>
      <c r="BG27" s="371"/>
      <c r="BH27" s="370"/>
      <c r="BI27" s="370"/>
      <c r="BJ27" s="371"/>
      <c r="BK27" s="371"/>
      <c r="BL27" s="370"/>
      <c r="BM27" s="370"/>
      <c r="BN27" s="371"/>
      <c r="BO27" s="371"/>
      <c r="BP27" s="370"/>
      <c r="BQ27" s="370"/>
      <c r="BR27" s="371"/>
      <c r="BS27" s="371"/>
      <c r="BT27" s="370"/>
      <c r="BU27" s="370"/>
      <c r="BV27" s="371"/>
      <c r="BW27" s="371"/>
      <c r="BX27" s="370"/>
      <c r="BY27" s="370"/>
      <c r="BZ27" s="371"/>
      <c r="CA27" s="371"/>
      <c r="CB27" s="370"/>
      <c r="CC27" s="370"/>
      <c r="CD27" s="371"/>
      <c r="CE27" s="371"/>
      <c r="CF27" s="370"/>
      <c r="CG27" s="370"/>
      <c r="CH27" s="371"/>
      <c r="CI27" s="371"/>
      <c r="CJ27" s="370"/>
      <c r="CK27" s="370"/>
      <c r="CL27" s="371"/>
      <c r="CM27" s="371"/>
      <c r="CN27" s="370"/>
      <c r="CO27" s="370"/>
      <c r="CP27" s="371"/>
      <c r="CQ27" s="371"/>
      <c r="CR27" s="370"/>
      <c r="CS27" s="370"/>
      <c r="CT27" s="371"/>
      <c r="CU27" s="371"/>
      <c r="CV27" s="370"/>
      <c r="CW27" s="370"/>
      <c r="CX27" s="371"/>
      <c r="CY27" s="371"/>
      <c r="CZ27" s="370"/>
      <c r="DA27" s="370"/>
      <c r="DB27" s="371"/>
      <c r="DC27" s="371"/>
      <c r="DD27" s="370"/>
      <c r="DE27" s="370"/>
      <c r="DF27" s="371"/>
      <c r="DG27" s="371"/>
      <c r="DH27" s="370"/>
      <c r="DI27" s="370"/>
      <c r="DJ27" s="371"/>
      <c r="DK27" s="371"/>
      <c r="DL27" s="370"/>
      <c r="DM27" s="370"/>
      <c r="DN27" s="371"/>
      <c r="DO27" s="371"/>
      <c r="DP27" s="370"/>
      <c r="DQ27" s="370"/>
      <c r="DR27" s="371"/>
      <c r="DS27" s="371"/>
      <c r="DT27" s="370"/>
      <c r="DU27" s="370"/>
      <c r="DV27" s="371"/>
      <c r="DW27" s="371"/>
      <c r="DX27" s="370"/>
      <c r="DY27" s="370"/>
      <c r="DZ27" s="371"/>
      <c r="EA27" s="371"/>
      <c r="EB27" s="370"/>
      <c r="EC27" s="370"/>
      <c r="ED27" s="371"/>
      <c r="EE27" s="371"/>
      <c r="EF27" s="370"/>
      <c r="EG27" s="370"/>
      <c r="EH27" s="371"/>
      <c r="EI27" s="371"/>
      <c r="EJ27" s="370"/>
      <c r="EK27" s="370"/>
      <c r="EL27" s="371"/>
      <c r="EM27" s="371"/>
      <c r="EN27" s="370"/>
      <c r="EO27" s="370"/>
      <c r="EP27" s="371"/>
      <c r="EQ27" s="371"/>
      <c r="ER27" s="370"/>
      <c r="ES27" s="370"/>
      <c r="ET27" s="371"/>
      <c r="EU27" s="371"/>
      <c r="EV27" s="370"/>
      <c r="EW27" s="370"/>
      <c r="EX27" s="371"/>
      <c r="EY27" s="371"/>
      <c r="EZ27" s="370"/>
      <c r="FA27" s="370"/>
      <c r="FB27" s="371"/>
      <c r="FC27" s="371"/>
      <c r="FD27" s="370"/>
      <c r="FE27" s="370"/>
      <c r="FF27" s="371"/>
      <c r="FG27" s="371"/>
      <c r="FH27" s="370"/>
      <c r="FI27" s="370"/>
      <c r="FJ27" s="371"/>
      <c r="FK27" s="371"/>
      <c r="FL27" s="370"/>
      <c r="FM27" s="370"/>
      <c r="FN27" s="371"/>
      <c r="FO27" s="371"/>
      <c r="FP27" s="370"/>
      <c r="FQ27" s="370"/>
      <c r="FR27" s="371"/>
      <c r="FS27" s="371"/>
      <c r="FT27" s="370"/>
      <c r="FU27" s="370"/>
      <c r="FV27" s="371"/>
      <c r="FW27" s="371"/>
      <c r="FX27" s="370"/>
      <c r="FY27" s="370"/>
      <c r="FZ27" s="371"/>
      <c r="GA27" s="371"/>
      <c r="GB27" s="370"/>
      <c r="GC27" s="370"/>
      <c r="GD27" s="371"/>
      <c r="GE27" s="371"/>
      <c r="GF27" s="370"/>
      <c r="GG27" s="370"/>
      <c r="GH27" s="371"/>
      <c r="GI27" s="371"/>
      <c r="GJ27" s="370"/>
      <c r="GK27" s="370"/>
      <c r="GL27" s="371"/>
      <c r="GM27" s="371"/>
      <c r="GN27" s="370"/>
      <c r="GO27" s="370"/>
      <c r="GP27" s="371"/>
      <c r="GQ27" s="371"/>
      <c r="GR27" s="370"/>
      <c r="GS27" s="370"/>
    </row>
    <row r="28">
      <c r="A28" s="380" t="s">
        <v>256</v>
      </c>
      <c r="B28" s="371"/>
      <c r="C28" s="371"/>
      <c r="D28" s="370"/>
      <c r="E28" s="370"/>
      <c r="F28" s="371"/>
      <c r="G28" s="371"/>
      <c r="H28" s="370"/>
      <c r="I28" s="370"/>
      <c r="J28" s="371"/>
      <c r="K28" s="371"/>
      <c r="L28" s="370"/>
      <c r="M28" s="370"/>
      <c r="N28" s="371"/>
      <c r="O28" s="371"/>
      <c r="P28" s="370"/>
      <c r="Q28" s="370"/>
      <c r="R28" s="371"/>
      <c r="S28" s="371"/>
      <c r="T28" s="370"/>
      <c r="U28" s="370"/>
      <c r="V28" s="371"/>
      <c r="W28" s="371"/>
      <c r="X28" s="370"/>
      <c r="Y28" s="370"/>
      <c r="Z28" s="371"/>
      <c r="AA28" s="371"/>
      <c r="AB28" s="370"/>
      <c r="AC28" s="370"/>
      <c r="AD28" s="371"/>
      <c r="AE28" s="371"/>
      <c r="AF28" s="370"/>
      <c r="AG28" s="370"/>
      <c r="AH28" s="371"/>
      <c r="AI28" s="371"/>
      <c r="AJ28" s="370"/>
      <c r="AK28" s="370"/>
      <c r="AL28" s="371"/>
      <c r="AM28" s="371"/>
      <c r="AN28" s="370"/>
      <c r="AO28" s="370"/>
      <c r="AP28" s="371"/>
      <c r="AQ28" s="371"/>
      <c r="AR28" s="370"/>
      <c r="AS28" s="370"/>
      <c r="AT28" s="371"/>
      <c r="AU28" s="371"/>
      <c r="AV28" s="370"/>
      <c r="AW28" s="370"/>
      <c r="AX28" s="371"/>
      <c r="AY28" s="371"/>
      <c r="AZ28" s="370"/>
      <c r="BA28" s="370"/>
      <c r="BB28" s="371"/>
      <c r="BC28" s="371"/>
      <c r="BD28" s="370"/>
      <c r="BE28" s="370"/>
      <c r="BF28" s="371"/>
      <c r="BG28" s="371"/>
      <c r="BH28" s="370"/>
      <c r="BI28" s="370"/>
      <c r="BJ28" s="371"/>
      <c r="BK28" s="371"/>
      <c r="BL28" s="370"/>
      <c r="BM28" s="370"/>
      <c r="BN28" s="371"/>
      <c r="BO28" s="371"/>
      <c r="BP28" s="370"/>
      <c r="BQ28" s="370"/>
      <c r="BR28" s="371"/>
      <c r="BS28" s="371"/>
      <c r="BT28" s="370"/>
      <c r="BU28" s="370"/>
      <c r="BV28" s="371"/>
      <c r="BW28" s="371"/>
      <c r="BX28" s="370"/>
      <c r="BY28" s="370"/>
      <c r="BZ28" s="371"/>
      <c r="CA28" s="371"/>
      <c r="CB28" s="370"/>
      <c r="CC28" s="370"/>
      <c r="CD28" s="371"/>
      <c r="CE28" s="371"/>
      <c r="CF28" s="370"/>
      <c r="CG28" s="370"/>
      <c r="CH28" s="371"/>
      <c r="CI28" s="371"/>
      <c r="CJ28" s="370"/>
      <c r="CK28" s="370"/>
      <c r="CL28" s="371"/>
      <c r="CM28" s="371"/>
      <c r="CN28" s="370"/>
      <c r="CO28" s="370"/>
      <c r="CP28" s="371"/>
      <c r="CQ28" s="371"/>
      <c r="CR28" s="370"/>
      <c r="CS28" s="370"/>
      <c r="CT28" s="371"/>
      <c r="CU28" s="371"/>
      <c r="CV28" s="370"/>
      <c r="CW28" s="370"/>
      <c r="CX28" s="371"/>
      <c r="CY28" s="371"/>
      <c r="CZ28" s="370"/>
      <c r="DA28" s="370"/>
      <c r="DB28" s="371"/>
      <c r="DC28" s="371"/>
      <c r="DD28" s="370"/>
      <c r="DE28" s="370"/>
      <c r="DF28" s="371"/>
      <c r="DG28" s="371"/>
      <c r="DH28" s="370"/>
      <c r="DI28" s="370"/>
      <c r="DJ28" s="371"/>
      <c r="DK28" s="371"/>
      <c r="DL28" s="370"/>
      <c r="DM28" s="370"/>
      <c r="DN28" s="371"/>
      <c r="DO28" s="371"/>
      <c r="DP28" s="370"/>
      <c r="DQ28" s="370"/>
      <c r="DR28" s="371"/>
      <c r="DS28" s="371"/>
      <c r="DT28" s="370"/>
      <c r="DU28" s="370"/>
      <c r="DV28" s="371"/>
      <c r="DW28" s="371"/>
      <c r="DX28" s="370"/>
      <c r="DY28" s="370"/>
      <c r="DZ28" s="371"/>
      <c r="EA28" s="371"/>
      <c r="EB28" s="370"/>
      <c r="EC28" s="370"/>
      <c r="ED28" s="371"/>
      <c r="EE28" s="371"/>
      <c r="EF28" s="370"/>
      <c r="EG28" s="370"/>
      <c r="EH28" s="371"/>
      <c r="EI28" s="371"/>
      <c r="EJ28" s="370"/>
      <c r="EK28" s="370"/>
      <c r="EL28" s="371"/>
      <c r="EM28" s="371"/>
      <c r="EN28" s="370"/>
      <c r="EO28" s="370"/>
      <c r="EP28" s="371"/>
      <c r="EQ28" s="371"/>
      <c r="ER28" s="370"/>
      <c r="ES28" s="370"/>
      <c r="ET28" s="371"/>
      <c r="EU28" s="371"/>
      <c r="EV28" s="370"/>
      <c r="EW28" s="370"/>
      <c r="EX28" s="371"/>
      <c r="EY28" s="371"/>
      <c r="EZ28" s="370"/>
      <c r="FA28" s="370"/>
      <c r="FB28" s="371"/>
      <c r="FC28" s="371"/>
      <c r="FD28" s="370"/>
      <c r="FE28" s="370"/>
      <c r="FF28" s="371"/>
      <c r="FG28" s="371"/>
      <c r="FH28" s="370"/>
      <c r="FI28" s="370"/>
      <c r="FJ28" s="371"/>
      <c r="FK28" s="371"/>
      <c r="FL28" s="370"/>
      <c r="FM28" s="370"/>
      <c r="FN28" s="371"/>
      <c r="FO28" s="371"/>
      <c r="FP28" s="370"/>
      <c r="FQ28" s="370"/>
      <c r="FR28" s="371"/>
      <c r="FS28" s="371"/>
      <c r="FT28" s="370"/>
      <c r="FU28" s="370"/>
      <c r="FV28" s="371"/>
      <c r="FW28" s="371"/>
      <c r="FX28" s="370"/>
      <c r="FY28" s="370"/>
      <c r="FZ28" s="371"/>
      <c r="GA28" s="371"/>
      <c r="GB28" s="370"/>
      <c r="GC28" s="370"/>
      <c r="GD28" s="371"/>
      <c r="GE28" s="371"/>
      <c r="GF28" s="370"/>
      <c r="GG28" s="370"/>
      <c r="GH28" s="371"/>
      <c r="GI28" s="371"/>
      <c r="GJ28" s="370"/>
      <c r="GK28" s="370"/>
      <c r="GL28" s="371"/>
      <c r="GM28" s="371"/>
      <c r="GN28" s="370"/>
      <c r="GO28" s="370"/>
      <c r="GP28" s="371"/>
      <c r="GQ28" s="371"/>
      <c r="GR28" s="370"/>
      <c r="GS28" s="370"/>
    </row>
    <row r="29">
      <c r="A29" s="375"/>
      <c r="B29" s="376"/>
      <c r="C29" s="376"/>
      <c r="D29" s="376"/>
      <c r="E29" s="376"/>
      <c r="F29" s="376"/>
      <c r="G29" s="376"/>
      <c r="H29" s="376"/>
      <c r="I29" s="376"/>
      <c r="J29" s="376"/>
      <c r="K29" s="376"/>
      <c r="L29" s="376"/>
      <c r="M29" s="376"/>
      <c r="N29" s="376"/>
      <c r="O29" s="376"/>
      <c r="P29" s="376"/>
      <c r="Q29" s="376"/>
      <c r="R29" s="376"/>
      <c r="S29" s="376"/>
      <c r="T29" s="376"/>
      <c r="U29" s="376"/>
      <c r="V29" s="376"/>
      <c r="W29" s="376"/>
      <c r="X29" s="376"/>
      <c r="Y29" s="376"/>
      <c r="Z29" s="376"/>
      <c r="AA29" s="376"/>
      <c r="AB29" s="376"/>
      <c r="AC29" s="376"/>
      <c r="AD29" s="376"/>
      <c r="AE29" s="376"/>
      <c r="AF29" s="376"/>
      <c r="AG29" s="376"/>
      <c r="AH29" s="376"/>
      <c r="AI29" s="376"/>
      <c r="AJ29" s="376"/>
      <c r="AK29" s="376"/>
      <c r="AL29" s="376"/>
      <c r="AM29" s="376"/>
      <c r="AN29" s="376"/>
      <c r="AO29" s="376"/>
      <c r="AP29" s="376"/>
      <c r="AQ29" s="376"/>
      <c r="AR29" s="376"/>
      <c r="AS29" s="376"/>
      <c r="AT29" s="376"/>
      <c r="AU29" s="376"/>
      <c r="AV29" s="376"/>
      <c r="AW29" s="376"/>
      <c r="AX29" s="376"/>
      <c r="AY29" s="376"/>
      <c r="AZ29" s="376"/>
      <c r="BA29" s="376"/>
      <c r="BB29" s="376"/>
      <c r="BC29" s="376"/>
      <c r="BD29" s="376"/>
      <c r="BE29" s="376"/>
      <c r="BF29" s="376"/>
      <c r="BG29" s="376"/>
      <c r="BH29" s="376"/>
      <c r="BI29" s="376"/>
      <c r="BJ29" s="376"/>
      <c r="BK29" s="376"/>
      <c r="BL29" s="376"/>
      <c r="BM29" s="376"/>
      <c r="BN29" s="376"/>
      <c r="BO29" s="376"/>
      <c r="BP29" s="376"/>
      <c r="BQ29" s="376"/>
      <c r="BR29" s="376"/>
      <c r="BS29" s="376"/>
      <c r="BT29" s="376"/>
      <c r="BU29" s="376"/>
      <c r="BV29" s="376"/>
      <c r="BW29" s="376"/>
      <c r="BX29" s="376"/>
      <c r="BY29" s="376"/>
      <c r="BZ29" s="376"/>
      <c r="CA29" s="376"/>
      <c r="CB29" s="376"/>
      <c r="CC29" s="376"/>
      <c r="CD29" s="376"/>
      <c r="CE29" s="376"/>
      <c r="CF29" s="376"/>
      <c r="CG29" s="376"/>
      <c r="CH29" s="376"/>
      <c r="CI29" s="376"/>
      <c r="CJ29" s="376"/>
      <c r="CK29" s="376"/>
      <c r="CL29" s="376"/>
      <c r="CM29" s="376"/>
      <c r="CN29" s="376"/>
      <c r="CO29" s="376"/>
      <c r="CP29" s="376"/>
      <c r="CQ29" s="376"/>
      <c r="CR29" s="376"/>
      <c r="CS29" s="376"/>
      <c r="CT29" s="376"/>
      <c r="CU29" s="376"/>
      <c r="CV29" s="376"/>
      <c r="CW29" s="376"/>
      <c r="CX29" s="376"/>
      <c r="CY29" s="376"/>
      <c r="CZ29" s="376"/>
      <c r="DA29" s="376"/>
      <c r="DB29" s="376"/>
      <c r="DC29" s="376"/>
      <c r="DD29" s="376"/>
      <c r="DE29" s="376"/>
      <c r="DF29" s="376"/>
      <c r="DG29" s="376"/>
      <c r="DH29" s="376"/>
      <c r="DI29" s="376"/>
      <c r="DJ29" s="376"/>
      <c r="DK29" s="376"/>
      <c r="DL29" s="376"/>
      <c r="DM29" s="376"/>
      <c r="DN29" s="376"/>
      <c r="DO29" s="376"/>
      <c r="DP29" s="376"/>
      <c r="DQ29" s="376"/>
      <c r="DR29" s="376"/>
      <c r="DS29" s="376"/>
      <c r="DT29" s="376"/>
      <c r="DU29" s="376"/>
      <c r="DV29" s="376"/>
      <c r="DW29" s="376"/>
      <c r="DX29" s="376"/>
      <c r="DY29" s="376"/>
      <c r="DZ29" s="376"/>
      <c r="EA29" s="376"/>
      <c r="EB29" s="376"/>
      <c r="EC29" s="376"/>
      <c r="ED29" s="376"/>
      <c r="EE29" s="376"/>
      <c r="EF29" s="376"/>
      <c r="EG29" s="376"/>
      <c r="EH29" s="376"/>
      <c r="EI29" s="376"/>
      <c r="EJ29" s="376"/>
      <c r="EK29" s="376"/>
      <c r="EL29" s="376"/>
      <c r="EM29" s="376"/>
      <c r="EN29" s="376"/>
      <c r="EO29" s="376"/>
      <c r="EP29" s="376"/>
      <c r="EQ29" s="376"/>
      <c r="ER29" s="376"/>
      <c r="ES29" s="376"/>
      <c r="ET29" s="376"/>
      <c r="EU29" s="376"/>
      <c r="EV29" s="376"/>
      <c r="EW29" s="376"/>
      <c r="EX29" s="376"/>
      <c r="EY29" s="376"/>
      <c r="EZ29" s="376"/>
      <c r="FA29" s="376"/>
      <c r="FB29" s="376"/>
      <c r="FC29" s="376"/>
      <c r="FD29" s="376"/>
      <c r="FE29" s="376"/>
      <c r="FF29" s="376"/>
      <c r="FG29" s="376"/>
      <c r="FH29" s="376"/>
      <c r="FI29" s="376"/>
      <c r="FJ29" s="376"/>
      <c r="FK29" s="376"/>
      <c r="FL29" s="376"/>
      <c r="FM29" s="376"/>
      <c r="FN29" s="376"/>
      <c r="FO29" s="376"/>
      <c r="FP29" s="376"/>
      <c r="FQ29" s="376"/>
      <c r="FR29" s="376"/>
      <c r="FS29" s="376"/>
      <c r="FT29" s="376"/>
      <c r="FU29" s="376"/>
      <c r="FV29" s="376"/>
      <c r="FW29" s="376"/>
      <c r="FX29" s="376"/>
      <c r="FY29" s="376"/>
      <c r="FZ29" s="376"/>
      <c r="GA29" s="376"/>
      <c r="GB29" s="376"/>
      <c r="GC29" s="376"/>
      <c r="GD29" s="376"/>
      <c r="GE29" s="376"/>
      <c r="GF29" s="376"/>
      <c r="GG29" s="376"/>
      <c r="GH29" s="376"/>
      <c r="GI29" s="376"/>
      <c r="GJ29" s="376"/>
      <c r="GK29" s="376"/>
      <c r="GL29" s="376"/>
      <c r="GM29" s="376"/>
      <c r="GN29" s="376"/>
      <c r="GO29" s="376"/>
      <c r="GP29" s="376"/>
      <c r="GQ29" s="376"/>
      <c r="GR29" s="376"/>
      <c r="GS29" s="376"/>
    </row>
  </sheetData>
  <mergeCells count="101">
    <mergeCell ref="CT1:CU1"/>
    <mergeCell ref="CV1:CW1"/>
    <mergeCell ref="CX1:CY1"/>
    <mergeCell ref="CZ1:DA1"/>
    <mergeCell ref="DB1:DC1"/>
    <mergeCell ref="DD1:DE1"/>
    <mergeCell ref="DF1:DG1"/>
    <mergeCell ref="DH1:DI1"/>
    <mergeCell ref="DJ1:DK1"/>
    <mergeCell ref="DL1:DM1"/>
    <mergeCell ref="DN1:DO1"/>
    <mergeCell ref="DP1:DQ1"/>
    <mergeCell ref="DR1:DS1"/>
    <mergeCell ref="DT1:DU1"/>
    <mergeCell ref="DV1:DW1"/>
    <mergeCell ref="DX1:DY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FN1:FO1"/>
    <mergeCell ref="FP1:FQ1"/>
    <mergeCell ref="FR1:FS1"/>
    <mergeCell ref="FT1:FU1"/>
    <mergeCell ref="FV1:FW1"/>
    <mergeCell ref="FX1:FY1"/>
    <mergeCell ref="GN1:GO1"/>
    <mergeCell ref="GP1:GQ1"/>
    <mergeCell ref="GR1:GS1"/>
    <mergeCell ref="FZ1:GA1"/>
    <mergeCell ref="GB1:GC1"/>
    <mergeCell ref="GD1:GE1"/>
    <mergeCell ref="GF1:GG1"/>
    <mergeCell ref="GH1:GI1"/>
    <mergeCell ref="GJ1:GK1"/>
    <mergeCell ref="GL1:GM1"/>
    <mergeCell ref="A1:A2"/>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s>
  <conditionalFormatting sqref="B4:GS7">
    <cfRule type="expression" dxfId="20" priority="1">
      <formula>ifcolor</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0.75"/>
    <col customWidth="1" min="2" max="201" width="3.88"/>
  </cols>
  <sheetData>
    <row r="1">
      <c r="A1" s="384" t="s">
        <v>257</v>
      </c>
      <c r="B1" s="381"/>
      <c r="D1" s="360"/>
      <c r="F1" s="359"/>
      <c r="H1" s="358"/>
      <c r="J1" s="359"/>
      <c r="L1" s="358"/>
      <c r="N1" s="359"/>
      <c r="P1" s="360"/>
      <c r="R1" s="361"/>
      <c r="T1" s="360"/>
      <c r="V1" s="359"/>
      <c r="X1" s="358"/>
      <c r="Z1" s="359"/>
      <c r="AB1" s="358"/>
      <c r="AD1" s="359"/>
      <c r="AF1" s="360"/>
      <c r="AH1" s="361"/>
      <c r="AJ1" s="360"/>
      <c r="AL1" s="359"/>
      <c r="AN1" s="358"/>
      <c r="AP1" s="359"/>
      <c r="AR1" s="358"/>
      <c r="AT1" s="359"/>
      <c r="AV1" s="360"/>
      <c r="AX1" s="361"/>
      <c r="AZ1" s="360"/>
      <c r="BB1" s="359"/>
      <c r="BD1" s="358"/>
      <c r="BF1" s="359"/>
      <c r="BH1" s="358"/>
      <c r="BJ1" s="359"/>
      <c r="BL1" s="360"/>
      <c r="BN1" s="361"/>
      <c r="BP1" s="360"/>
      <c r="BR1" s="359"/>
      <c r="BT1" s="358"/>
      <c r="BV1" s="359"/>
      <c r="BX1" s="358"/>
      <c r="BZ1" s="359"/>
      <c r="CB1" s="360"/>
      <c r="CD1" s="361"/>
      <c r="CF1" s="360"/>
      <c r="CH1" s="359"/>
      <c r="CJ1" s="358"/>
      <c r="CL1" s="359"/>
      <c r="CN1" s="358"/>
      <c r="CP1" s="359"/>
      <c r="CR1" s="360"/>
      <c r="CT1" s="361"/>
      <c r="CV1" s="360"/>
      <c r="CX1" s="359"/>
      <c r="CZ1" s="358"/>
      <c r="DB1" s="359"/>
      <c r="DD1" s="358"/>
      <c r="DF1" s="359"/>
      <c r="DH1" s="360"/>
      <c r="DJ1" s="361"/>
      <c r="DL1" s="360"/>
      <c r="DN1" s="359"/>
      <c r="DP1" s="358"/>
      <c r="DR1" s="359"/>
      <c r="DT1" s="358"/>
      <c r="DV1" s="359"/>
      <c r="DX1" s="360"/>
      <c r="DZ1" s="361"/>
      <c r="EB1" s="360"/>
      <c r="ED1" s="359"/>
      <c r="EF1" s="358"/>
      <c r="EH1" s="359"/>
      <c r="EJ1" s="358"/>
      <c r="EL1" s="359"/>
      <c r="EN1" s="358"/>
      <c r="EP1" s="359"/>
      <c r="ER1" s="358"/>
      <c r="ET1" s="359"/>
      <c r="EV1" s="358"/>
      <c r="EX1" s="359"/>
      <c r="EZ1" s="358"/>
      <c r="FB1" s="359"/>
      <c r="FD1" s="358"/>
      <c r="FF1" s="359"/>
      <c r="FH1" s="358"/>
      <c r="FJ1" s="359"/>
      <c r="FL1" s="358"/>
      <c r="FN1" s="359"/>
      <c r="FP1" s="358"/>
      <c r="FR1" s="359"/>
      <c r="FT1" s="358"/>
      <c r="FV1" s="359"/>
      <c r="FX1" s="358"/>
      <c r="FZ1" s="359"/>
      <c r="GB1" s="358"/>
      <c r="GD1" s="359"/>
      <c r="GF1" s="358"/>
      <c r="GH1" s="359"/>
      <c r="GJ1" s="358"/>
      <c r="GL1" s="359"/>
      <c r="GN1" s="358"/>
      <c r="GP1" s="359"/>
      <c r="GR1" s="358"/>
    </row>
    <row r="2">
      <c r="B2" s="364" t="s">
        <v>150</v>
      </c>
      <c r="C2" s="364" t="s">
        <v>151</v>
      </c>
      <c r="D2" s="355" t="s">
        <v>150</v>
      </c>
      <c r="E2" s="355" t="s">
        <v>151</v>
      </c>
      <c r="F2" s="364" t="s">
        <v>150</v>
      </c>
      <c r="G2" s="364" t="s">
        <v>151</v>
      </c>
      <c r="H2" s="355" t="s">
        <v>150</v>
      </c>
      <c r="I2" s="355" t="s">
        <v>151</v>
      </c>
      <c r="J2" s="364" t="s">
        <v>150</v>
      </c>
      <c r="K2" s="364" t="s">
        <v>151</v>
      </c>
      <c r="L2" s="355" t="s">
        <v>150</v>
      </c>
      <c r="M2" s="355" t="s">
        <v>151</v>
      </c>
      <c r="N2" s="364" t="s">
        <v>150</v>
      </c>
      <c r="O2" s="364" t="s">
        <v>151</v>
      </c>
      <c r="P2" s="355" t="s">
        <v>150</v>
      </c>
      <c r="Q2" s="355" t="s">
        <v>151</v>
      </c>
      <c r="R2" s="364" t="s">
        <v>150</v>
      </c>
      <c r="S2" s="364" t="s">
        <v>151</v>
      </c>
      <c r="T2" s="355" t="s">
        <v>150</v>
      </c>
      <c r="U2" s="355" t="s">
        <v>151</v>
      </c>
      <c r="V2" s="364" t="s">
        <v>150</v>
      </c>
      <c r="W2" s="364" t="s">
        <v>151</v>
      </c>
      <c r="X2" s="355" t="s">
        <v>150</v>
      </c>
      <c r="Y2" s="355" t="s">
        <v>151</v>
      </c>
      <c r="Z2" s="364" t="s">
        <v>150</v>
      </c>
      <c r="AA2" s="364" t="s">
        <v>151</v>
      </c>
      <c r="AB2" s="355" t="s">
        <v>150</v>
      </c>
      <c r="AC2" s="355" t="s">
        <v>151</v>
      </c>
      <c r="AD2" s="364" t="s">
        <v>150</v>
      </c>
      <c r="AE2" s="364" t="s">
        <v>151</v>
      </c>
      <c r="AF2" s="355" t="s">
        <v>150</v>
      </c>
      <c r="AG2" s="355" t="s">
        <v>151</v>
      </c>
      <c r="AH2" s="364" t="s">
        <v>150</v>
      </c>
      <c r="AI2" s="364" t="s">
        <v>151</v>
      </c>
      <c r="AJ2" s="355" t="s">
        <v>150</v>
      </c>
      <c r="AK2" s="355" t="s">
        <v>151</v>
      </c>
      <c r="AL2" s="364" t="s">
        <v>150</v>
      </c>
      <c r="AM2" s="364" t="s">
        <v>151</v>
      </c>
      <c r="AN2" s="355" t="s">
        <v>150</v>
      </c>
      <c r="AO2" s="355" t="s">
        <v>151</v>
      </c>
      <c r="AP2" s="364" t="s">
        <v>150</v>
      </c>
      <c r="AQ2" s="364" t="s">
        <v>151</v>
      </c>
      <c r="AR2" s="355" t="s">
        <v>150</v>
      </c>
      <c r="AS2" s="355" t="s">
        <v>151</v>
      </c>
      <c r="AT2" s="364" t="s">
        <v>150</v>
      </c>
      <c r="AU2" s="364" t="s">
        <v>151</v>
      </c>
      <c r="AV2" s="355" t="s">
        <v>150</v>
      </c>
      <c r="AW2" s="355" t="s">
        <v>151</v>
      </c>
      <c r="AX2" s="364" t="s">
        <v>150</v>
      </c>
      <c r="AY2" s="364" t="s">
        <v>151</v>
      </c>
      <c r="AZ2" s="355" t="s">
        <v>150</v>
      </c>
      <c r="BA2" s="355" t="s">
        <v>151</v>
      </c>
      <c r="BB2" s="364" t="s">
        <v>150</v>
      </c>
      <c r="BC2" s="364" t="s">
        <v>151</v>
      </c>
      <c r="BD2" s="355" t="s">
        <v>150</v>
      </c>
      <c r="BE2" s="355" t="s">
        <v>151</v>
      </c>
      <c r="BF2" s="364" t="s">
        <v>150</v>
      </c>
      <c r="BG2" s="364" t="s">
        <v>151</v>
      </c>
      <c r="BH2" s="355" t="s">
        <v>150</v>
      </c>
      <c r="BI2" s="355" t="s">
        <v>151</v>
      </c>
      <c r="BJ2" s="364" t="s">
        <v>150</v>
      </c>
      <c r="BK2" s="364" t="s">
        <v>151</v>
      </c>
      <c r="BL2" s="355" t="s">
        <v>150</v>
      </c>
      <c r="BM2" s="355" t="s">
        <v>151</v>
      </c>
      <c r="BN2" s="364" t="s">
        <v>150</v>
      </c>
      <c r="BO2" s="364" t="s">
        <v>151</v>
      </c>
      <c r="BP2" s="355" t="s">
        <v>150</v>
      </c>
      <c r="BQ2" s="355" t="s">
        <v>151</v>
      </c>
      <c r="BR2" s="364" t="s">
        <v>150</v>
      </c>
      <c r="BS2" s="364" t="s">
        <v>151</v>
      </c>
      <c r="BT2" s="355" t="s">
        <v>150</v>
      </c>
      <c r="BU2" s="355" t="s">
        <v>151</v>
      </c>
      <c r="BV2" s="364" t="s">
        <v>150</v>
      </c>
      <c r="BW2" s="364" t="s">
        <v>151</v>
      </c>
      <c r="BX2" s="355" t="s">
        <v>150</v>
      </c>
      <c r="BY2" s="355" t="s">
        <v>151</v>
      </c>
      <c r="BZ2" s="364" t="s">
        <v>150</v>
      </c>
      <c r="CA2" s="364" t="s">
        <v>151</v>
      </c>
      <c r="CB2" s="355" t="s">
        <v>150</v>
      </c>
      <c r="CC2" s="355" t="s">
        <v>151</v>
      </c>
      <c r="CD2" s="364" t="s">
        <v>150</v>
      </c>
      <c r="CE2" s="364" t="s">
        <v>151</v>
      </c>
      <c r="CF2" s="355" t="s">
        <v>150</v>
      </c>
      <c r="CG2" s="355" t="s">
        <v>151</v>
      </c>
      <c r="CH2" s="364" t="s">
        <v>150</v>
      </c>
      <c r="CI2" s="364" t="s">
        <v>151</v>
      </c>
      <c r="CJ2" s="355" t="s">
        <v>150</v>
      </c>
      <c r="CK2" s="355" t="s">
        <v>151</v>
      </c>
      <c r="CL2" s="364" t="s">
        <v>150</v>
      </c>
      <c r="CM2" s="364" t="s">
        <v>151</v>
      </c>
      <c r="CN2" s="355" t="s">
        <v>150</v>
      </c>
      <c r="CO2" s="355" t="s">
        <v>151</v>
      </c>
      <c r="CP2" s="364" t="s">
        <v>150</v>
      </c>
      <c r="CQ2" s="364" t="s">
        <v>151</v>
      </c>
      <c r="CR2" s="355" t="s">
        <v>150</v>
      </c>
      <c r="CS2" s="355" t="s">
        <v>151</v>
      </c>
      <c r="CT2" s="364" t="s">
        <v>150</v>
      </c>
      <c r="CU2" s="364" t="s">
        <v>151</v>
      </c>
      <c r="CV2" s="355" t="s">
        <v>150</v>
      </c>
      <c r="CW2" s="355" t="s">
        <v>151</v>
      </c>
      <c r="CX2" s="364" t="s">
        <v>150</v>
      </c>
      <c r="CY2" s="364" t="s">
        <v>151</v>
      </c>
      <c r="CZ2" s="355" t="s">
        <v>150</v>
      </c>
      <c r="DA2" s="355" t="s">
        <v>151</v>
      </c>
      <c r="DB2" s="364" t="s">
        <v>150</v>
      </c>
      <c r="DC2" s="364" t="s">
        <v>151</v>
      </c>
      <c r="DD2" s="355" t="s">
        <v>150</v>
      </c>
      <c r="DE2" s="355" t="s">
        <v>151</v>
      </c>
      <c r="DF2" s="364" t="s">
        <v>150</v>
      </c>
      <c r="DG2" s="364" t="s">
        <v>151</v>
      </c>
      <c r="DH2" s="355" t="s">
        <v>150</v>
      </c>
      <c r="DI2" s="355" t="s">
        <v>151</v>
      </c>
      <c r="DJ2" s="364" t="s">
        <v>150</v>
      </c>
      <c r="DK2" s="364" t="s">
        <v>151</v>
      </c>
      <c r="DL2" s="355" t="s">
        <v>150</v>
      </c>
      <c r="DM2" s="355" t="s">
        <v>151</v>
      </c>
      <c r="DN2" s="364" t="s">
        <v>150</v>
      </c>
      <c r="DO2" s="364" t="s">
        <v>151</v>
      </c>
      <c r="DP2" s="355" t="s">
        <v>150</v>
      </c>
      <c r="DQ2" s="355" t="s">
        <v>151</v>
      </c>
      <c r="DR2" s="364" t="s">
        <v>150</v>
      </c>
      <c r="DS2" s="364" t="s">
        <v>151</v>
      </c>
      <c r="DT2" s="355" t="s">
        <v>150</v>
      </c>
      <c r="DU2" s="355" t="s">
        <v>151</v>
      </c>
      <c r="DV2" s="364" t="s">
        <v>150</v>
      </c>
      <c r="DW2" s="364" t="s">
        <v>151</v>
      </c>
      <c r="DX2" s="355" t="s">
        <v>150</v>
      </c>
      <c r="DY2" s="355" t="s">
        <v>151</v>
      </c>
      <c r="DZ2" s="364" t="s">
        <v>150</v>
      </c>
      <c r="EA2" s="364" t="s">
        <v>151</v>
      </c>
      <c r="EB2" s="355" t="s">
        <v>150</v>
      </c>
      <c r="EC2" s="355" t="s">
        <v>151</v>
      </c>
      <c r="ED2" s="364" t="s">
        <v>150</v>
      </c>
      <c r="EE2" s="364" t="s">
        <v>151</v>
      </c>
      <c r="EF2" s="355" t="s">
        <v>150</v>
      </c>
      <c r="EG2" s="355" t="s">
        <v>151</v>
      </c>
      <c r="EH2" s="364" t="s">
        <v>150</v>
      </c>
      <c r="EI2" s="364" t="s">
        <v>151</v>
      </c>
      <c r="EJ2" s="355" t="s">
        <v>150</v>
      </c>
      <c r="EK2" s="355" t="s">
        <v>151</v>
      </c>
      <c r="EL2" s="364" t="s">
        <v>150</v>
      </c>
      <c r="EM2" s="364" t="s">
        <v>151</v>
      </c>
      <c r="EN2" s="355" t="s">
        <v>150</v>
      </c>
      <c r="EO2" s="355" t="s">
        <v>151</v>
      </c>
      <c r="EP2" s="364" t="s">
        <v>150</v>
      </c>
      <c r="EQ2" s="364" t="s">
        <v>151</v>
      </c>
      <c r="ER2" s="355" t="s">
        <v>150</v>
      </c>
      <c r="ES2" s="355" t="s">
        <v>151</v>
      </c>
      <c r="ET2" s="364" t="s">
        <v>150</v>
      </c>
      <c r="EU2" s="364" t="s">
        <v>151</v>
      </c>
      <c r="EV2" s="355" t="s">
        <v>150</v>
      </c>
      <c r="EW2" s="355" t="s">
        <v>151</v>
      </c>
      <c r="EX2" s="364" t="s">
        <v>150</v>
      </c>
      <c r="EY2" s="364" t="s">
        <v>151</v>
      </c>
      <c r="EZ2" s="355" t="s">
        <v>150</v>
      </c>
      <c r="FA2" s="355" t="s">
        <v>151</v>
      </c>
      <c r="FB2" s="364" t="s">
        <v>150</v>
      </c>
      <c r="FC2" s="364" t="s">
        <v>151</v>
      </c>
      <c r="FD2" s="355" t="s">
        <v>150</v>
      </c>
      <c r="FE2" s="355" t="s">
        <v>151</v>
      </c>
      <c r="FF2" s="364" t="s">
        <v>150</v>
      </c>
      <c r="FG2" s="364" t="s">
        <v>151</v>
      </c>
      <c r="FH2" s="355" t="s">
        <v>150</v>
      </c>
      <c r="FI2" s="355" t="s">
        <v>151</v>
      </c>
      <c r="FJ2" s="364" t="s">
        <v>150</v>
      </c>
      <c r="FK2" s="364" t="s">
        <v>151</v>
      </c>
      <c r="FL2" s="355" t="s">
        <v>150</v>
      </c>
      <c r="FM2" s="355" t="s">
        <v>151</v>
      </c>
      <c r="FN2" s="364" t="s">
        <v>150</v>
      </c>
      <c r="FO2" s="364" t="s">
        <v>151</v>
      </c>
      <c r="FP2" s="355" t="s">
        <v>150</v>
      </c>
      <c r="FQ2" s="355" t="s">
        <v>151</v>
      </c>
      <c r="FR2" s="364" t="s">
        <v>150</v>
      </c>
      <c r="FS2" s="364" t="s">
        <v>151</v>
      </c>
      <c r="FT2" s="355" t="s">
        <v>150</v>
      </c>
      <c r="FU2" s="355" t="s">
        <v>151</v>
      </c>
      <c r="FV2" s="364" t="s">
        <v>150</v>
      </c>
      <c r="FW2" s="364" t="s">
        <v>151</v>
      </c>
      <c r="FX2" s="355" t="s">
        <v>150</v>
      </c>
      <c r="FY2" s="355" t="s">
        <v>151</v>
      </c>
      <c r="FZ2" s="364" t="s">
        <v>150</v>
      </c>
      <c r="GA2" s="364" t="s">
        <v>151</v>
      </c>
      <c r="GB2" s="355" t="s">
        <v>150</v>
      </c>
      <c r="GC2" s="355" t="s">
        <v>151</v>
      </c>
      <c r="GD2" s="364" t="s">
        <v>150</v>
      </c>
      <c r="GE2" s="364" t="s">
        <v>151</v>
      </c>
      <c r="GF2" s="355" t="s">
        <v>150</v>
      </c>
      <c r="GG2" s="355" t="s">
        <v>151</v>
      </c>
      <c r="GH2" s="364" t="s">
        <v>150</v>
      </c>
      <c r="GI2" s="364" t="s">
        <v>151</v>
      </c>
      <c r="GJ2" s="355" t="s">
        <v>150</v>
      </c>
      <c r="GK2" s="355" t="s">
        <v>151</v>
      </c>
      <c r="GL2" s="364" t="s">
        <v>150</v>
      </c>
      <c r="GM2" s="364" t="s">
        <v>151</v>
      </c>
      <c r="GN2" s="355" t="s">
        <v>150</v>
      </c>
      <c r="GO2" s="355" t="s">
        <v>151</v>
      </c>
      <c r="GP2" s="364" t="s">
        <v>150</v>
      </c>
      <c r="GQ2" s="364" t="s">
        <v>151</v>
      </c>
      <c r="GR2" s="355" t="s">
        <v>150</v>
      </c>
      <c r="GS2" s="355" t="s">
        <v>151</v>
      </c>
    </row>
    <row r="3">
      <c r="A3" s="365" t="s">
        <v>179</v>
      </c>
      <c r="B3" s="365"/>
      <c r="C3" s="365"/>
      <c r="D3" s="365"/>
      <c r="E3" s="365"/>
      <c r="F3" s="365"/>
      <c r="G3" s="365"/>
      <c r="H3" s="365"/>
      <c r="I3" s="365"/>
      <c r="J3" s="365"/>
      <c r="K3" s="365"/>
      <c r="L3" s="365"/>
      <c r="M3" s="365"/>
      <c r="N3" s="365"/>
      <c r="O3" s="365"/>
      <c r="P3" s="365"/>
      <c r="Q3" s="365"/>
      <c r="R3" s="365"/>
      <c r="S3" s="365"/>
      <c r="T3" s="365"/>
      <c r="U3" s="365"/>
      <c r="V3" s="365"/>
      <c r="W3" s="365"/>
      <c r="X3" s="365"/>
      <c r="Y3" s="365"/>
      <c r="Z3" s="365"/>
      <c r="AA3" s="365"/>
      <c r="AB3" s="365"/>
      <c r="AC3" s="365"/>
      <c r="AD3" s="365"/>
      <c r="AE3" s="365"/>
      <c r="AF3" s="365"/>
      <c r="AG3" s="365"/>
      <c r="AH3" s="365"/>
      <c r="AI3" s="365"/>
      <c r="AJ3" s="365"/>
      <c r="AK3" s="365"/>
      <c r="AL3" s="365"/>
      <c r="AM3" s="365"/>
      <c r="AN3" s="365"/>
      <c r="AO3" s="365"/>
      <c r="AP3" s="365"/>
      <c r="AQ3" s="365"/>
      <c r="AR3" s="365"/>
      <c r="AS3" s="365"/>
      <c r="AT3" s="365"/>
      <c r="AU3" s="365"/>
      <c r="AV3" s="365"/>
      <c r="AW3" s="365"/>
      <c r="AX3" s="365"/>
      <c r="AY3" s="365"/>
      <c r="AZ3" s="365"/>
      <c r="BA3" s="365"/>
      <c r="BB3" s="365"/>
      <c r="BC3" s="365"/>
      <c r="BD3" s="365"/>
      <c r="BE3" s="365"/>
      <c r="BF3" s="365"/>
      <c r="BG3" s="365"/>
      <c r="BH3" s="365"/>
      <c r="BI3" s="365"/>
      <c r="BJ3" s="365"/>
      <c r="BK3" s="365"/>
      <c r="BL3" s="365"/>
      <c r="BM3" s="365"/>
      <c r="BN3" s="365"/>
      <c r="BO3" s="365"/>
      <c r="BP3" s="365"/>
      <c r="BQ3" s="365"/>
      <c r="BR3" s="365"/>
      <c r="BS3" s="365"/>
      <c r="BT3" s="365"/>
      <c r="BU3" s="365"/>
      <c r="BV3" s="365"/>
      <c r="BW3" s="365"/>
      <c r="BX3" s="365"/>
      <c r="BY3" s="365"/>
      <c r="BZ3" s="365"/>
      <c r="CA3" s="365"/>
      <c r="CB3" s="365"/>
      <c r="CC3" s="365"/>
      <c r="CD3" s="365"/>
      <c r="CE3" s="365"/>
      <c r="CF3" s="365"/>
      <c r="CG3" s="365"/>
      <c r="CH3" s="365"/>
      <c r="CI3" s="365"/>
      <c r="CJ3" s="365"/>
      <c r="CK3" s="365"/>
      <c r="CL3" s="365"/>
      <c r="CM3" s="365"/>
      <c r="CN3" s="365"/>
      <c r="CO3" s="365"/>
      <c r="CP3" s="365"/>
      <c r="CQ3" s="365"/>
      <c r="CR3" s="365"/>
      <c r="CS3" s="365"/>
      <c r="CT3" s="365"/>
      <c r="CU3" s="365"/>
      <c r="CV3" s="365"/>
      <c r="CW3" s="365"/>
      <c r="CX3" s="365"/>
      <c r="CY3" s="365"/>
      <c r="CZ3" s="365"/>
      <c r="DA3" s="365"/>
      <c r="DB3" s="365"/>
      <c r="DC3" s="365"/>
      <c r="DD3" s="365"/>
      <c r="DE3" s="365"/>
      <c r="DF3" s="365"/>
      <c r="DG3" s="365"/>
      <c r="DH3" s="365"/>
      <c r="DI3" s="365"/>
      <c r="DJ3" s="365"/>
      <c r="DK3" s="365"/>
      <c r="DL3" s="365"/>
      <c r="DM3" s="365"/>
      <c r="DN3" s="365"/>
      <c r="DO3" s="365"/>
      <c r="DP3" s="365"/>
      <c r="DQ3" s="365"/>
      <c r="DR3" s="365"/>
      <c r="DS3" s="365"/>
      <c r="DT3" s="365"/>
      <c r="DU3" s="365"/>
      <c r="DV3" s="365"/>
      <c r="DW3" s="365"/>
      <c r="DX3" s="365"/>
      <c r="DY3" s="365"/>
      <c r="DZ3" s="365"/>
      <c r="EA3" s="365"/>
      <c r="EB3" s="365"/>
      <c r="EC3" s="365"/>
      <c r="ED3" s="365"/>
      <c r="EE3" s="365"/>
      <c r="EF3" s="365"/>
      <c r="EG3" s="365"/>
      <c r="EH3" s="365"/>
      <c r="EI3" s="365"/>
      <c r="EJ3" s="365"/>
      <c r="EK3" s="365"/>
      <c r="EL3" s="365"/>
      <c r="EM3" s="365"/>
      <c r="EN3" s="365"/>
      <c r="EO3" s="365"/>
      <c r="EP3" s="365"/>
      <c r="EQ3" s="365"/>
      <c r="ER3" s="365"/>
      <c r="ES3" s="365"/>
      <c r="ET3" s="365"/>
      <c r="EU3" s="365"/>
      <c r="EV3" s="365"/>
      <c r="EW3" s="365"/>
      <c r="EX3" s="365"/>
      <c r="EY3" s="365"/>
      <c r="EZ3" s="365"/>
      <c r="FA3" s="365"/>
      <c r="FB3" s="365"/>
      <c r="FC3" s="365"/>
      <c r="FD3" s="365"/>
      <c r="FE3" s="365"/>
      <c r="FF3" s="365"/>
      <c r="FG3" s="365"/>
      <c r="FH3" s="365"/>
      <c r="FI3" s="365"/>
      <c r="FJ3" s="365"/>
      <c r="FK3" s="365"/>
      <c r="FL3" s="365"/>
      <c r="FM3" s="365"/>
      <c r="FN3" s="365"/>
      <c r="FO3" s="365"/>
      <c r="FP3" s="365"/>
      <c r="FQ3" s="365"/>
      <c r="FR3" s="365"/>
      <c r="FS3" s="365"/>
      <c r="FT3" s="365"/>
      <c r="FU3" s="365"/>
      <c r="FV3" s="365"/>
      <c r="FW3" s="365"/>
      <c r="FX3" s="365"/>
      <c r="FY3" s="365"/>
      <c r="FZ3" s="365"/>
      <c r="GA3" s="365"/>
      <c r="GB3" s="365"/>
      <c r="GC3" s="365"/>
      <c r="GD3" s="365"/>
      <c r="GE3" s="365"/>
      <c r="GF3" s="365"/>
      <c r="GG3" s="365"/>
      <c r="GH3" s="365"/>
      <c r="GI3" s="365"/>
      <c r="GJ3" s="365"/>
      <c r="GK3" s="365"/>
      <c r="GL3" s="365"/>
      <c r="GM3" s="365"/>
      <c r="GN3" s="365"/>
      <c r="GO3" s="365"/>
      <c r="GP3" s="365"/>
      <c r="GQ3" s="365"/>
      <c r="GR3" s="365"/>
      <c r="GS3" s="365"/>
    </row>
    <row r="4">
      <c r="A4" s="367" t="s">
        <v>258</v>
      </c>
      <c r="B4" s="371"/>
      <c r="C4" s="371"/>
      <c r="D4" s="370"/>
      <c r="E4" s="370"/>
      <c r="F4" s="371"/>
      <c r="G4" s="371"/>
      <c r="H4" s="370"/>
      <c r="I4" s="370"/>
      <c r="J4" s="371"/>
      <c r="K4" s="371"/>
      <c r="L4" s="370"/>
      <c r="M4" s="370"/>
      <c r="N4" s="371"/>
      <c r="O4" s="371"/>
      <c r="P4" s="370"/>
      <c r="Q4" s="370"/>
      <c r="R4" s="371"/>
      <c r="S4" s="371"/>
      <c r="T4" s="370"/>
      <c r="U4" s="370"/>
      <c r="V4" s="371"/>
      <c r="W4" s="371"/>
      <c r="X4" s="370"/>
      <c r="Y4" s="370"/>
      <c r="Z4" s="371"/>
      <c r="AA4" s="371"/>
      <c r="AB4" s="370"/>
      <c r="AC4" s="370"/>
      <c r="AD4" s="371"/>
      <c r="AE4" s="371"/>
      <c r="AF4" s="370"/>
      <c r="AG4" s="370"/>
      <c r="AH4" s="371"/>
      <c r="AI4" s="371"/>
      <c r="AJ4" s="370"/>
      <c r="AK4" s="370"/>
      <c r="AL4" s="371"/>
      <c r="AM4" s="371"/>
      <c r="AN4" s="370"/>
      <c r="AO4" s="370"/>
      <c r="AP4" s="371"/>
      <c r="AQ4" s="371"/>
      <c r="AR4" s="370"/>
      <c r="AS4" s="370"/>
      <c r="AT4" s="371"/>
      <c r="AU4" s="371"/>
      <c r="AV4" s="370"/>
      <c r="AW4" s="370"/>
      <c r="AX4" s="371"/>
      <c r="AY4" s="371"/>
      <c r="AZ4" s="370"/>
      <c r="BA4" s="370"/>
      <c r="BB4" s="371"/>
      <c r="BC4" s="371"/>
      <c r="BD4" s="370"/>
      <c r="BE4" s="370"/>
      <c r="BF4" s="371"/>
      <c r="BG4" s="371"/>
      <c r="BH4" s="370"/>
      <c r="BI4" s="370"/>
      <c r="BJ4" s="371"/>
      <c r="BK4" s="371"/>
      <c r="BL4" s="370"/>
      <c r="BM4" s="370"/>
      <c r="BN4" s="371"/>
      <c r="BO4" s="371"/>
      <c r="BP4" s="370"/>
      <c r="BQ4" s="370"/>
      <c r="BR4" s="371"/>
      <c r="BS4" s="371"/>
      <c r="BT4" s="370"/>
      <c r="BU4" s="370"/>
      <c r="BV4" s="371"/>
      <c r="BW4" s="371"/>
      <c r="BX4" s="370"/>
      <c r="BY4" s="370"/>
      <c r="BZ4" s="371"/>
      <c r="CA4" s="371"/>
      <c r="CB4" s="370"/>
      <c r="CC4" s="370"/>
      <c r="CD4" s="371"/>
      <c r="CE4" s="371"/>
      <c r="CF4" s="370"/>
      <c r="CG4" s="370"/>
      <c r="CH4" s="371"/>
      <c r="CI4" s="371"/>
      <c r="CJ4" s="370"/>
      <c r="CK4" s="370"/>
      <c r="CL4" s="371"/>
      <c r="CM4" s="371"/>
      <c r="CN4" s="370"/>
      <c r="CO4" s="370"/>
      <c r="CP4" s="371"/>
      <c r="CQ4" s="371"/>
      <c r="CR4" s="370"/>
      <c r="CS4" s="370"/>
      <c r="CT4" s="371"/>
      <c r="CU4" s="371"/>
      <c r="CV4" s="370"/>
      <c r="CW4" s="370"/>
      <c r="CX4" s="371"/>
      <c r="CY4" s="371"/>
      <c r="CZ4" s="370"/>
      <c r="DA4" s="370"/>
      <c r="DB4" s="371"/>
      <c r="DC4" s="371"/>
      <c r="DD4" s="370"/>
      <c r="DE4" s="370"/>
      <c r="DF4" s="371"/>
      <c r="DG4" s="371"/>
      <c r="DH4" s="370"/>
      <c r="DI4" s="370"/>
      <c r="DJ4" s="371"/>
      <c r="DK4" s="371"/>
      <c r="DL4" s="370"/>
      <c r="DM4" s="370"/>
      <c r="DN4" s="371"/>
      <c r="DO4" s="371"/>
      <c r="DP4" s="370"/>
      <c r="DQ4" s="370"/>
      <c r="DR4" s="371"/>
      <c r="DS4" s="371"/>
      <c r="DT4" s="370"/>
      <c r="DU4" s="370"/>
      <c r="DV4" s="371"/>
      <c r="DW4" s="371"/>
      <c r="DX4" s="370"/>
      <c r="DY4" s="370"/>
      <c r="DZ4" s="371"/>
      <c r="EA4" s="371"/>
      <c r="EB4" s="370"/>
      <c r="EC4" s="370"/>
      <c r="ED4" s="371"/>
      <c r="EE4" s="371"/>
      <c r="EF4" s="370"/>
      <c r="EG4" s="370"/>
      <c r="EH4" s="371"/>
      <c r="EI4" s="371"/>
      <c r="EJ4" s="370"/>
      <c r="EK4" s="370"/>
      <c r="EL4" s="371"/>
      <c r="EM4" s="371"/>
      <c r="EN4" s="370"/>
      <c r="EO4" s="370"/>
      <c r="EP4" s="371"/>
      <c r="EQ4" s="371"/>
      <c r="ER4" s="370"/>
      <c r="ES4" s="370"/>
      <c r="ET4" s="371"/>
      <c r="EU4" s="371"/>
      <c r="EV4" s="370"/>
      <c r="EW4" s="370"/>
      <c r="EX4" s="371"/>
      <c r="EY4" s="371"/>
      <c r="EZ4" s="370"/>
      <c r="FA4" s="370"/>
      <c r="FB4" s="371"/>
      <c r="FC4" s="371"/>
      <c r="FD4" s="370"/>
      <c r="FE4" s="370"/>
      <c r="FF4" s="371"/>
      <c r="FG4" s="371"/>
      <c r="FH4" s="370"/>
      <c r="FI4" s="370"/>
      <c r="FJ4" s="371"/>
      <c r="FK4" s="371"/>
      <c r="FL4" s="370"/>
      <c r="FM4" s="370"/>
      <c r="FN4" s="371"/>
      <c r="FO4" s="371"/>
      <c r="FP4" s="370"/>
      <c r="FQ4" s="370"/>
      <c r="FR4" s="371"/>
      <c r="FS4" s="371"/>
      <c r="FT4" s="370"/>
      <c r="FU4" s="370"/>
      <c r="FV4" s="371"/>
      <c r="FW4" s="371"/>
      <c r="FX4" s="370"/>
      <c r="FY4" s="370"/>
      <c r="FZ4" s="371"/>
      <c r="GA4" s="371"/>
      <c r="GB4" s="370"/>
      <c r="GC4" s="370"/>
      <c r="GD4" s="371"/>
      <c r="GE4" s="371"/>
      <c r="GF4" s="370"/>
      <c r="GG4" s="370"/>
      <c r="GH4" s="371"/>
      <c r="GI4" s="371"/>
      <c r="GJ4" s="370"/>
      <c r="GK4" s="370"/>
      <c r="GL4" s="371"/>
      <c r="GM4" s="371"/>
      <c r="GN4" s="370"/>
      <c r="GO4" s="370"/>
      <c r="GP4" s="371"/>
      <c r="GQ4" s="371"/>
      <c r="GR4" s="370"/>
      <c r="GS4" s="370"/>
    </row>
    <row r="5">
      <c r="A5" s="367" t="s">
        <v>259</v>
      </c>
      <c r="B5" s="371"/>
      <c r="C5" s="371"/>
      <c r="D5" s="370"/>
      <c r="E5" s="370"/>
      <c r="F5" s="371"/>
      <c r="G5" s="371"/>
      <c r="H5" s="370"/>
      <c r="I5" s="370"/>
      <c r="J5" s="371"/>
      <c r="K5" s="371"/>
      <c r="L5" s="370"/>
      <c r="M5" s="370"/>
      <c r="N5" s="371"/>
      <c r="O5" s="371"/>
      <c r="P5" s="370"/>
      <c r="Q5" s="370"/>
      <c r="R5" s="371"/>
      <c r="S5" s="371"/>
      <c r="T5" s="370"/>
      <c r="U5" s="370"/>
      <c r="V5" s="371"/>
      <c r="W5" s="371"/>
      <c r="X5" s="370"/>
      <c r="Y5" s="370"/>
      <c r="Z5" s="371"/>
      <c r="AA5" s="371"/>
      <c r="AB5" s="370"/>
      <c r="AC5" s="370"/>
      <c r="AD5" s="371"/>
      <c r="AE5" s="371"/>
      <c r="AF5" s="370"/>
      <c r="AG5" s="370"/>
      <c r="AH5" s="371"/>
      <c r="AI5" s="371"/>
      <c r="AJ5" s="370"/>
      <c r="AK5" s="370"/>
      <c r="AL5" s="371"/>
      <c r="AM5" s="371"/>
      <c r="AN5" s="370"/>
      <c r="AO5" s="370"/>
      <c r="AP5" s="371"/>
      <c r="AQ5" s="371"/>
      <c r="AR5" s="370"/>
      <c r="AS5" s="370"/>
      <c r="AT5" s="371"/>
      <c r="AU5" s="371"/>
      <c r="AV5" s="370"/>
      <c r="AW5" s="370"/>
      <c r="AX5" s="371"/>
      <c r="AY5" s="371"/>
      <c r="AZ5" s="370"/>
      <c r="BA5" s="370"/>
      <c r="BB5" s="371"/>
      <c r="BC5" s="371"/>
      <c r="BD5" s="370"/>
      <c r="BE5" s="370"/>
      <c r="BF5" s="371"/>
      <c r="BG5" s="371"/>
      <c r="BH5" s="370"/>
      <c r="BI5" s="370"/>
      <c r="BJ5" s="371"/>
      <c r="BK5" s="371"/>
      <c r="BL5" s="370"/>
      <c r="BM5" s="370"/>
      <c r="BN5" s="371"/>
      <c r="BO5" s="371"/>
      <c r="BP5" s="370"/>
      <c r="BQ5" s="370"/>
      <c r="BR5" s="371"/>
      <c r="BS5" s="371"/>
      <c r="BT5" s="370"/>
      <c r="BU5" s="370"/>
      <c r="BV5" s="371"/>
      <c r="BW5" s="371"/>
      <c r="BX5" s="370"/>
      <c r="BY5" s="370"/>
      <c r="BZ5" s="371"/>
      <c r="CA5" s="371"/>
      <c r="CB5" s="370"/>
      <c r="CC5" s="370"/>
      <c r="CD5" s="371"/>
      <c r="CE5" s="371"/>
      <c r="CF5" s="370"/>
      <c r="CG5" s="370"/>
      <c r="CH5" s="371"/>
      <c r="CI5" s="371"/>
      <c r="CJ5" s="370"/>
      <c r="CK5" s="370"/>
      <c r="CL5" s="371"/>
      <c r="CM5" s="371"/>
      <c r="CN5" s="370"/>
      <c r="CO5" s="370"/>
      <c r="CP5" s="371"/>
      <c r="CQ5" s="371"/>
      <c r="CR5" s="370"/>
      <c r="CS5" s="370"/>
      <c r="CT5" s="371"/>
      <c r="CU5" s="371"/>
      <c r="CV5" s="370"/>
      <c r="CW5" s="370"/>
      <c r="CX5" s="371"/>
      <c r="CY5" s="371"/>
      <c r="CZ5" s="370"/>
      <c r="DA5" s="370"/>
      <c r="DB5" s="371"/>
      <c r="DC5" s="371"/>
      <c r="DD5" s="370"/>
      <c r="DE5" s="370"/>
      <c r="DF5" s="371"/>
      <c r="DG5" s="371"/>
      <c r="DH5" s="370"/>
      <c r="DI5" s="370"/>
      <c r="DJ5" s="371"/>
      <c r="DK5" s="371"/>
      <c r="DL5" s="370"/>
      <c r="DM5" s="370"/>
      <c r="DN5" s="371"/>
      <c r="DO5" s="371"/>
      <c r="DP5" s="370"/>
      <c r="DQ5" s="370"/>
      <c r="DR5" s="371"/>
      <c r="DS5" s="371"/>
      <c r="DT5" s="370"/>
      <c r="DU5" s="370"/>
      <c r="DV5" s="371"/>
      <c r="DW5" s="371"/>
      <c r="DX5" s="370"/>
      <c r="DY5" s="370"/>
      <c r="DZ5" s="371"/>
      <c r="EA5" s="371"/>
      <c r="EB5" s="370"/>
      <c r="EC5" s="370"/>
      <c r="ED5" s="371"/>
      <c r="EE5" s="371"/>
      <c r="EF5" s="370"/>
      <c r="EG5" s="370"/>
      <c r="EH5" s="371"/>
      <c r="EI5" s="371"/>
      <c r="EJ5" s="370"/>
      <c r="EK5" s="370"/>
      <c r="EL5" s="371"/>
      <c r="EM5" s="371"/>
      <c r="EN5" s="370"/>
      <c r="EO5" s="370"/>
      <c r="EP5" s="371"/>
      <c r="EQ5" s="371"/>
      <c r="ER5" s="370"/>
      <c r="ES5" s="370"/>
      <c r="ET5" s="371"/>
      <c r="EU5" s="371"/>
      <c r="EV5" s="370"/>
      <c r="EW5" s="370"/>
      <c r="EX5" s="371"/>
      <c r="EY5" s="371"/>
      <c r="EZ5" s="370"/>
      <c r="FA5" s="370"/>
      <c r="FB5" s="371"/>
      <c r="FC5" s="371"/>
      <c r="FD5" s="370"/>
      <c r="FE5" s="370"/>
      <c r="FF5" s="371"/>
      <c r="FG5" s="371"/>
      <c r="FH5" s="370"/>
      <c r="FI5" s="370"/>
      <c r="FJ5" s="371"/>
      <c r="FK5" s="371"/>
      <c r="FL5" s="370"/>
      <c r="FM5" s="370"/>
      <c r="FN5" s="371"/>
      <c r="FO5" s="371"/>
      <c r="FP5" s="370"/>
      <c r="FQ5" s="370"/>
      <c r="FR5" s="371"/>
      <c r="FS5" s="371"/>
      <c r="FT5" s="370"/>
      <c r="FU5" s="370"/>
      <c r="FV5" s="371"/>
      <c r="FW5" s="371"/>
      <c r="FX5" s="370"/>
      <c r="FY5" s="370"/>
      <c r="FZ5" s="371"/>
      <c r="GA5" s="371"/>
      <c r="GB5" s="370"/>
      <c r="GC5" s="370"/>
      <c r="GD5" s="371"/>
      <c r="GE5" s="371"/>
      <c r="GF5" s="370"/>
      <c r="GG5" s="370"/>
      <c r="GH5" s="371"/>
      <c r="GI5" s="371"/>
      <c r="GJ5" s="370"/>
      <c r="GK5" s="370"/>
      <c r="GL5" s="371"/>
      <c r="GM5" s="371"/>
      <c r="GN5" s="370"/>
      <c r="GO5" s="370"/>
      <c r="GP5" s="371"/>
      <c r="GQ5" s="371"/>
      <c r="GR5" s="370"/>
      <c r="GS5" s="370"/>
    </row>
    <row r="6">
      <c r="A6" s="367" t="s">
        <v>260</v>
      </c>
      <c r="B6" s="371"/>
      <c r="C6" s="371"/>
      <c r="D6" s="370"/>
      <c r="E6" s="370"/>
      <c r="F6" s="371"/>
      <c r="G6" s="371"/>
      <c r="H6" s="370"/>
      <c r="I6" s="370"/>
      <c r="J6" s="371"/>
      <c r="K6" s="371"/>
      <c r="L6" s="370"/>
      <c r="M6" s="370"/>
      <c r="N6" s="371"/>
      <c r="O6" s="371"/>
      <c r="P6" s="370"/>
      <c r="Q6" s="370"/>
      <c r="R6" s="371"/>
      <c r="S6" s="371"/>
      <c r="T6" s="370"/>
      <c r="U6" s="370"/>
      <c r="V6" s="371"/>
      <c r="W6" s="371"/>
      <c r="X6" s="370"/>
      <c r="Y6" s="370"/>
      <c r="Z6" s="371"/>
      <c r="AA6" s="371"/>
      <c r="AB6" s="370"/>
      <c r="AC6" s="370"/>
      <c r="AD6" s="371"/>
      <c r="AE6" s="371"/>
      <c r="AF6" s="370"/>
      <c r="AG6" s="370"/>
      <c r="AH6" s="371"/>
      <c r="AI6" s="371"/>
      <c r="AJ6" s="370"/>
      <c r="AK6" s="370"/>
      <c r="AL6" s="371"/>
      <c r="AM6" s="371"/>
      <c r="AN6" s="370"/>
      <c r="AO6" s="370"/>
      <c r="AP6" s="371"/>
      <c r="AQ6" s="371"/>
      <c r="AR6" s="370"/>
      <c r="AS6" s="370"/>
      <c r="AT6" s="371"/>
      <c r="AU6" s="371"/>
      <c r="AV6" s="370"/>
      <c r="AW6" s="370"/>
      <c r="AX6" s="371"/>
      <c r="AY6" s="371"/>
      <c r="AZ6" s="370"/>
      <c r="BA6" s="370"/>
      <c r="BB6" s="371"/>
      <c r="BC6" s="371"/>
      <c r="BD6" s="370"/>
      <c r="BE6" s="370"/>
      <c r="BF6" s="371"/>
      <c r="BG6" s="371"/>
      <c r="BH6" s="370"/>
      <c r="BI6" s="370"/>
      <c r="BJ6" s="371"/>
      <c r="BK6" s="371"/>
      <c r="BL6" s="370"/>
      <c r="BM6" s="370"/>
      <c r="BN6" s="371"/>
      <c r="BO6" s="371"/>
      <c r="BP6" s="370"/>
      <c r="BQ6" s="370"/>
      <c r="BR6" s="371"/>
      <c r="BS6" s="371"/>
      <c r="BT6" s="370"/>
      <c r="BU6" s="370"/>
      <c r="BV6" s="371"/>
      <c r="BW6" s="371"/>
      <c r="BX6" s="370"/>
      <c r="BY6" s="370"/>
      <c r="BZ6" s="371"/>
      <c r="CA6" s="371"/>
      <c r="CB6" s="370"/>
      <c r="CC6" s="370"/>
      <c r="CD6" s="371"/>
      <c r="CE6" s="371"/>
      <c r="CF6" s="370"/>
      <c r="CG6" s="370"/>
      <c r="CH6" s="371"/>
      <c r="CI6" s="371"/>
      <c r="CJ6" s="370"/>
      <c r="CK6" s="370"/>
      <c r="CL6" s="371"/>
      <c r="CM6" s="371"/>
      <c r="CN6" s="370"/>
      <c r="CO6" s="370"/>
      <c r="CP6" s="371"/>
      <c r="CQ6" s="371"/>
      <c r="CR6" s="370"/>
      <c r="CS6" s="370"/>
      <c r="CT6" s="371"/>
      <c r="CU6" s="371"/>
      <c r="CV6" s="370"/>
      <c r="CW6" s="370"/>
      <c r="CX6" s="371"/>
      <c r="CY6" s="371"/>
      <c r="CZ6" s="370"/>
      <c r="DA6" s="370"/>
      <c r="DB6" s="371"/>
      <c r="DC6" s="371"/>
      <c r="DD6" s="370"/>
      <c r="DE6" s="370"/>
      <c r="DF6" s="371"/>
      <c r="DG6" s="371"/>
      <c r="DH6" s="370"/>
      <c r="DI6" s="370"/>
      <c r="DJ6" s="371"/>
      <c r="DK6" s="371"/>
      <c r="DL6" s="370"/>
      <c r="DM6" s="370"/>
      <c r="DN6" s="371"/>
      <c r="DO6" s="371"/>
      <c r="DP6" s="370"/>
      <c r="DQ6" s="370"/>
      <c r="DR6" s="371"/>
      <c r="DS6" s="371"/>
      <c r="DT6" s="370"/>
      <c r="DU6" s="370"/>
      <c r="DV6" s="371"/>
      <c r="DW6" s="371"/>
      <c r="DX6" s="370"/>
      <c r="DY6" s="370"/>
      <c r="DZ6" s="371"/>
      <c r="EA6" s="371"/>
      <c r="EB6" s="370"/>
      <c r="EC6" s="370"/>
      <c r="ED6" s="371"/>
      <c r="EE6" s="371"/>
      <c r="EF6" s="370"/>
      <c r="EG6" s="370"/>
      <c r="EH6" s="371"/>
      <c r="EI6" s="371"/>
      <c r="EJ6" s="370"/>
      <c r="EK6" s="370"/>
      <c r="EL6" s="371"/>
      <c r="EM6" s="371"/>
      <c r="EN6" s="370"/>
      <c r="EO6" s="370"/>
      <c r="EP6" s="371"/>
      <c r="EQ6" s="371"/>
      <c r="ER6" s="370"/>
      <c r="ES6" s="370"/>
      <c r="ET6" s="371"/>
      <c r="EU6" s="371"/>
      <c r="EV6" s="370"/>
      <c r="EW6" s="370"/>
      <c r="EX6" s="371"/>
      <c r="EY6" s="371"/>
      <c r="EZ6" s="370"/>
      <c r="FA6" s="370"/>
      <c r="FB6" s="371"/>
      <c r="FC6" s="371"/>
      <c r="FD6" s="370"/>
      <c r="FE6" s="370"/>
      <c r="FF6" s="371"/>
      <c r="FG6" s="371"/>
      <c r="FH6" s="370"/>
      <c r="FI6" s="370"/>
      <c r="FJ6" s="371"/>
      <c r="FK6" s="371"/>
      <c r="FL6" s="370"/>
      <c r="FM6" s="370"/>
      <c r="FN6" s="371"/>
      <c r="FO6" s="371"/>
      <c r="FP6" s="370"/>
      <c r="FQ6" s="370"/>
      <c r="FR6" s="371"/>
      <c r="FS6" s="371"/>
      <c r="FT6" s="370"/>
      <c r="FU6" s="370"/>
      <c r="FV6" s="371"/>
      <c r="FW6" s="371"/>
      <c r="FX6" s="370"/>
      <c r="FY6" s="370"/>
      <c r="FZ6" s="371"/>
      <c r="GA6" s="371"/>
      <c r="GB6" s="370"/>
      <c r="GC6" s="370"/>
      <c r="GD6" s="371"/>
      <c r="GE6" s="371"/>
      <c r="GF6" s="370"/>
      <c r="GG6" s="370"/>
      <c r="GH6" s="371"/>
      <c r="GI6" s="371"/>
      <c r="GJ6" s="370"/>
      <c r="GK6" s="370"/>
      <c r="GL6" s="371"/>
      <c r="GM6" s="371"/>
      <c r="GN6" s="370"/>
      <c r="GO6" s="370"/>
      <c r="GP6" s="371"/>
      <c r="GQ6" s="371"/>
      <c r="GR6" s="370"/>
      <c r="GS6" s="370"/>
    </row>
    <row r="7">
      <c r="A7" s="365" t="s">
        <v>261</v>
      </c>
      <c r="B7" s="365"/>
      <c r="C7" s="365"/>
      <c r="D7" s="365"/>
      <c r="E7" s="365"/>
      <c r="F7" s="365"/>
      <c r="G7" s="365"/>
      <c r="H7" s="365"/>
      <c r="I7" s="365"/>
      <c r="J7" s="365"/>
      <c r="K7" s="365"/>
      <c r="L7" s="365"/>
      <c r="M7" s="365"/>
      <c r="N7" s="365"/>
      <c r="O7" s="365"/>
      <c r="P7" s="365"/>
      <c r="Q7" s="365"/>
      <c r="R7" s="365"/>
      <c r="S7" s="365"/>
      <c r="T7" s="365"/>
      <c r="U7" s="365"/>
      <c r="V7" s="365"/>
      <c r="W7" s="365"/>
      <c r="X7" s="365"/>
      <c r="Y7" s="365"/>
      <c r="Z7" s="365"/>
      <c r="AA7" s="365"/>
      <c r="AB7" s="365"/>
      <c r="AC7" s="365"/>
      <c r="AD7" s="365"/>
      <c r="AE7" s="365"/>
      <c r="AF7" s="365"/>
      <c r="AG7" s="365"/>
      <c r="AH7" s="365"/>
      <c r="AI7" s="365"/>
      <c r="AJ7" s="365"/>
      <c r="AK7" s="365"/>
      <c r="AL7" s="365"/>
      <c r="AM7" s="365"/>
      <c r="AN7" s="365"/>
      <c r="AO7" s="365"/>
      <c r="AP7" s="365"/>
      <c r="AQ7" s="365"/>
      <c r="AR7" s="365"/>
      <c r="AS7" s="365"/>
      <c r="AT7" s="365"/>
      <c r="AU7" s="365"/>
      <c r="AV7" s="365"/>
      <c r="AW7" s="365"/>
      <c r="AX7" s="365"/>
      <c r="AY7" s="365"/>
      <c r="AZ7" s="365"/>
      <c r="BA7" s="365"/>
      <c r="BB7" s="365"/>
      <c r="BC7" s="365"/>
      <c r="BD7" s="365"/>
      <c r="BE7" s="365"/>
      <c r="BF7" s="365"/>
      <c r="BG7" s="365"/>
      <c r="BH7" s="365"/>
      <c r="BI7" s="365"/>
      <c r="BJ7" s="365"/>
      <c r="BK7" s="365"/>
      <c r="BL7" s="365"/>
      <c r="BM7" s="365"/>
      <c r="BN7" s="365"/>
      <c r="BO7" s="365"/>
      <c r="BP7" s="365"/>
      <c r="BQ7" s="365"/>
      <c r="BR7" s="365"/>
      <c r="BS7" s="365"/>
      <c r="BT7" s="365"/>
      <c r="BU7" s="365"/>
      <c r="BV7" s="365"/>
      <c r="BW7" s="365"/>
      <c r="BX7" s="365"/>
      <c r="BY7" s="365"/>
      <c r="BZ7" s="365"/>
      <c r="CA7" s="365"/>
      <c r="CB7" s="365"/>
      <c r="CC7" s="365"/>
      <c r="CD7" s="365"/>
      <c r="CE7" s="365"/>
      <c r="CF7" s="365"/>
      <c r="CG7" s="365"/>
      <c r="CH7" s="365"/>
      <c r="CI7" s="365"/>
      <c r="CJ7" s="365"/>
      <c r="CK7" s="365"/>
      <c r="CL7" s="365"/>
      <c r="CM7" s="365"/>
      <c r="CN7" s="365"/>
      <c r="CO7" s="365"/>
      <c r="CP7" s="365"/>
      <c r="CQ7" s="365"/>
      <c r="CR7" s="365"/>
      <c r="CS7" s="365"/>
      <c r="CT7" s="365"/>
      <c r="CU7" s="365"/>
      <c r="CV7" s="365"/>
      <c r="CW7" s="365"/>
      <c r="CX7" s="365"/>
      <c r="CY7" s="365"/>
      <c r="CZ7" s="365"/>
      <c r="DA7" s="365"/>
      <c r="DB7" s="365"/>
      <c r="DC7" s="365"/>
      <c r="DD7" s="365"/>
      <c r="DE7" s="365"/>
      <c r="DF7" s="365"/>
      <c r="DG7" s="365"/>
      <c r="DH7" s="365"/>
      <c r="DI7" s="365"/>
      <c r="DJ7" s="365"/>
      <c r="DK7" s="365"/>
      <c r="DL7" s="365"/>
      <c r="DM7" s="365"/>
      <c r="DN7" s="365"/>
      <c r="DO7" s="365"/>
      <c r="DP7" s="365"/>
      <c r="DQ7" s="365"/>
      <c r="DR7" s="365"/>
      <c r="DS7" s="365"/>
      <c r="DT7" s="365"/>
      <c r="DU7" s="365"/>
      <c r="DV7" s="365"/>
      <c r="DW7" s="365"/>
      <c r="DX7" s="365"/>
      <c r="DY7" s="365"/>
      <c r="DZ7" s="365"/>
      <c r="EA7" s="365"/>
      <c r="EB7" s="365"/>
      <c r="EC7" s="365"/>
      <c r="ED7" s="365"/>
      <c r="EE7" s="365"/>
      <c r="EF7" s="365"/>
      <c r="EG7" s="365"/>
      <c r="EH7" s="365"/>
      <c r="EI7" s="365"/>
      <c r="EJ7" s="365"/>
      <c r="EK7" s="365"/>
      <c r="EL7" s="365"/>
      <c r="EM7" s="365"/>
      <c r="EN7" s="365"/>
      <c r="EO7" s="365"/>
      <c r="EP7" s="365"/>
      <c r="EQ7" s="365"/>
      <c r="ER7" s="365"/>
      <c r="ES7" s="365"/>
      <c r="ET7" s="365"/>
      <c r="EU7" s="365"/>
      <c r="EV7" s="365"/>
      <c r="EW7" s="365"/>
      <c r="EX7" s="365"/>
      <c r="EY7" s="365"/>
      <c r="EZ7" s="365"/>
      <c r="FA7" s="365"/>
      <c r="FB7" s="365"/>
      <c r="FC7" s="365"/>
      <c r="FD7" s="365"/>
      <c r="FE7" s="365"/>
      <c r="FF7" s="365"/>
      <c r="FG7" s="365"/>
      <c r="FH7" s="365"/>
      <c r="FI7" s="365"/>
      <c r="FJ7" s="365"/>
      <c r="FK7" s="365"/>
      <c r="FL7" s="365"/>
      <c r="FM7" s="365"/>
      <c r="FN7" s="365"/>
      <c r="FO7" s="365"/>
      <c r="FP7" s="365"/>
      <c r="FQ7" s="365"/>
      <c r="FR7" s="365"/>
      <c r="FS7" s="365"/>
      <c r="FT7" s="365"/>
      <c r="FU7" s="365"/>
      <c r="FV7" s="365"/>
      <c r="FW7" s="365"/>
      <c r="FX7" s="365"/>
      <c r="FY7" s="365"/>
      <c r="FZ7" s="365"/>
      <c r="GA7" s="365"/>
      <c r="GB7" s="365"/>
      <c r="GC7" s="365"/>
      <c r="GD7" s="365"/>
      <c r="GE7" s="365"/>
      <c r="GF7" s="365"/>
      <c r="GG7" s="365"/>
      <c r="GH7" s="365"/>
      <c r="GI7" s="365"/>
      <c r="GJ7" s="365"/>
      <c r="GK7" s="365"/>
      <c r="GL7" s="365"/>
      <c r="GM7" s="365"/>
      <c r="GN7" s="365"/>
      <c r="GO7" s="365"/>
      <c r="GP7" s="365"/>
      <c r="GQ7" s="365"/>
      <c r="GR7" s="365"/>
      <c r="GS7" s="365"/>
    </row>
    <row r="8">
      <c r="A8" s="380" t="s">
        <v>262</v>
      </c>
      <c r="B8" s="371"/>
      <c r="C8" s="371"/>
      <c r="D8" s="370"/>
      <c r="E8" s="370"/>
      <c r="F8" s="371"/>
      <c r="G8" s="371"/>
      <c r="H8" s="370"/>
      <c r="I8" s="370"/>
      <c r="J8" s="371"/>
      <c r="K8" s="371"/>
      <c r="L8" s="370"/>
      <c r="M8" s="370"/>
      <c r="N8" s="371"/>
      <c r="O8" s="371"/>
      <c r="P8" s="370"/>
      <c r="Q8" s="370"/>
      <c r="R8" s="371"/>
      <c r="S8" s="371"/>
      <c r="T8" s="370"/>
      <c r="U8" s="370"/>
      <c r="V8" s="371"/>
      <c r="W8" s="371"/>
      <c r="X8" s="370"/>
      <c r="Y8" s="370"/>
      <c r="Z8" s="371"/>
      <c r="AA8" s="371"/>
      <c r="AB8" s="370"/>
      <c r="AC8" s="370"/>
      <c r="AD8" s="371"/>
      <c r="AE8" s="371"/>
      <c r="AF8" s="370"/>
      <c r="AG8" s="370"/>
      <c r="AH8" s="371"/>
      <c r="AI8" s="371"/>
      <c r="AJ8" s="370"/>
      <c r="AK8" s="370"/>
      <c r="AL8" s="371"/>
      <c r="AM8" s="371"/>
      <c r="AN8" s="370"/>
      <c r="AO8" s="370"/>
      <c r="AP8" s="371"/>
      <c r="AQ8" s="371"/>
      <c r="AR8" s="370"/>
      <c r="AS8" s="370"/>
      <c r="AT8" s="371"/>
      <c r="AU8" s="371"/>
      <c r="AV8" s="370"/>
      <c r="AW8" s="370"/>
      <c r="AX8" s="371"/>
      <c r="AY8" s="371"/>
      <c r="AZ8" s="370"/>
      <c r="BA8" s="370"/>
      <c r="BB8" s="371"/>
      <c r="BC8" s="371"/>
      <c r="BD8" s="370"/>
      <c r="BE8" s="370"/>
      <c r="BF8" s="371"/>
      <c r="BG8" s="371"/>
      <c r="BH8" s="370"/>
      <c r="BI8" s="370"/>
      <c r="BJ8" s="371"/>
      <c r="BK8" s="371"/>
      <c r="BL8" s="370"/>
      <c r="BM8" s="370"/>
      <c r="BN8" s="371"/>
      <c r="BO8" s="371"/>
      <c r="BP8" s="370"/>
      <c r="BQ8" s="370"/>
      <c r="BR8" s="371"/>
      <c r="BS8" s="371"/>
      <c r="BT8" s="370"/>
      <c r="BU8" s="370"/>
      <c r="BV8" s="371"/>
      <c r="BW8" s="371"/>
      <c r="BX8" s="370"/>
      <c r="BY8" s="370"/>
      <c r="BZ8" s="371"/>
      <c r="CA8" s="371"/>
      <c r="CB8" s="370"/>
      <c r="CC8" s="370"/>
      <c r="CD8" s="371"/>
      <c r="CE8" s="371"/>
      <c r="CF8" s="370"/>
      <c r="CG8" s="370"/>
      <c r="CH8" s="371"/>
      <c r="CI8" s="371"/>
      <c r="CJ8" s="370"/>
      <c r="CK8" s="370"/>
      <c r="CL8" s="371"/>
      <c r="CM8" s="371"/>
      <c r="CN8" s="370"/>
      <c r="CO8" s="370"/>
      <c r="CP8" s="371"/>
      <c r="CQ8" s="371"/>
      <c r="CR8" s="370"/>
      <c r="CS8" s="370"/>
      <c r="CT8" s="371"/>
      <c r="CU8" s="371"/>
      <c r="CV8" s="370"/>
      <c r="CW8" s="370"/>
      <c r="CX8" s="371"/>
      <c r="CY8" s="371"/>
      <c r="CZ8" s="370"/>
      <c r="DA8" s="370"/>
      <c r="DB8" s="371"/>
      <c r="DC8" s="371"/>
      <c r="DD8" s="370"/>
      <c r="DE8" s="370"/>
      <c r="DF8" s="371"/>
      <c r="DG8" s="371"/>
      <c r="DH8" s="370"/>
      <c r="DI8" s="370"/>
      <c r="DJ8" s="371"/>
      <c r="DK8" s="371"/>
      <c r="DL8" s="370"/>
      <c r="DM8" s="370"/>
      <c r="DN8" s="371"/>
      <c r="DO8" s="371"/>
      <c r="DP8" s="370"/>
      <c r="DQ8" s="370"/>
      <c r="DR8" s="371"/>
      <c r="DS8" s="371"/>
      <c r="DT8" s="370"/>
      <c r="DU8" s="370"/>
      <c r="DV8" s="371"/>
      <c r="DW8" s="371"/>
      <c r="DX8" s="370"/>
      <c r="DY8" s="370"/>
      <c r="DZ8" s="371"/>
      <c r="EA8" s="371"/>
      <c r="EB8" s="370"/>
      <c r="EC8" s="370"/>
      <c r="ED8" s="371"/>
      <c r="EE8" s="371"/>
      <c r="EF8" s="370"/>
      <c r="EG8" s="370"/>
      <c r="EH8" s="371"/>
      <c r="EI8" s="371"/>
      <c r="EJ8" s="370"/>
      <c r="EK8" s="370"/>
      <c r="EL8" s="371"/>
      <c r="EM8" s="371"/>
      <c r="EN8" s="370"/>
      <c r="EO8" s="370"/>
      <c r="EP8" s="371"/>
      <c r="EQ8" s="371"/>
      <c r="ER8" s="370"/>
      <c r="ES8" s="370"/>
      <c r="ET8" s="371"/>
      <c r="EU8" s="371"/>
      <c r="EV8" s="370"/>
      <c r="EW8" s="370"/>
      <c r="EX8" s="371"/>
      <c r="EY8" s="371"/>
      <c r="EZ8" s="370"/>
      <c r="FA8" s="370"/>
      <c r="FB8" s="371"/>
      <c r="FC8" s="371"/>
      <c r="FD8" s="370"/>
      <c r="FE8" s="370"/>
      <c r="FF8" s="371"/>
      <c r="FG8" s="371"/>
      <c r="FH8" s="370"/>
      <c r="FI8" s="370"/>
      <c r="FJ8" s="371"/>
      <c r="FK8" s="371"/>
      <c r="FL8" s="370"/>
      <c r="FM8" s="370"/>
      <c r="FN8" s="371"/>
      <c r="FO8" s="371"/>
      <c r="FP8" s="370"/>
      <c r="FQ8" s="370"/>
      <c r="FR8" s="371"/>
      <c r="FS8" s="371"/>
      <c r="FT8" s="370"/>
      <c r="FU8" s="370"/>
      <c r="FV8" s="371"/>
      <c r="FW8" s="371"/>
      <c r="FX8" s="370"/>
      <c r="FY8" s="370"/>
      <c r="FZ8" s="371"/>
      <c r="GA8" s="371"/>
      <c r="GB8" s="370"/>
      <c r="GC8" s="370"/>
      <c r="GD8" s="371"/>
      <c r="GE8" s="371"/>
      <c r="GF8" s="370"/>
      <c r="GG8" s="370"/>
      <c r="GH8" s="371"/>
      <c r="GI8" s="371"/>
      <c r="GJ8" s="370"/>
      <c r="GK8" s="370"/>
      <c r="GL8" s="371"/>
      <c r="GM8" s="371"/>
      <c r="GN8" s="370"/>
      <c r="GO8" s="370"/>
      <c r="GP8" s="371"/>
      <c r="GQ8" s="371"/>
      <c r="GR8" s="370"/>
      <c r="GS8" s="370"/>
    </row>
    <row r="9">
      <c r="A9" s="380" t="s">
        <v>263</v>
      </c>
      <c r="B9" s="371"/>
      <c r="C9" s="371"/>
      <c r="D9" s="370"/>
      <c r="E9" s="370"/>
      <c r="F9" s="371"/>
      <c r="G9" s="371"/>
      <c r="H9" s="370"/>
      <c r="I9" s="370"/>
      <c r="J9" s="371"/>
      <c r="K9" s="371"/>
      <c r="L9" s="370"/>
      <c r="M9" s="370"/>
      <c r="N9" s="371"/>
      <c r="O9" s="371"/>
      <c r="P9" s="370"/>
      <c r="Q9" s="370"/>
      <c r="R9" s="371"/>
      <c r="S9" s="371"/>
      <c r="T9" s="370"/>
      <c r="U9" s="370"/>
      <c r="V9" s="371"/>
      <c r="W9" s="371"/>
      <c r="X9" s="370"/>
      <c r="Y9" s="370"/>
      <c r="Z9" s="371"/>
      <c r="AA9" s="371"/>
      <c r="AB9" s="370"/>
      <c r="AC9" s="370"/>
      <c r="AD9" s="371"/>
      <c r="AE9" s="371"/>
      <c r="AF9" s="370"/>
      <c r="AG9" s="370"/>
      <c r="AH9" s="371"/>
      <c r="AI9" s="371"/>
      <c r="AJ9" s="370"/>
      <c r="AK9" s="370"/>
      <c r="AL9" s="371"/>
      <c r="AM9" s="371"/>
      <c r="AN9" s="370"/>
      <c r="AO9" s="370"/>
      <c r="AP9" s="371"/>
      <c r="AQ9" s="371"/>
      <c r="AR9" s="370"/>
      <c r="AS9" s="370"/>
      <c r="AT9" s="371"/>
      <c r="AU9" s="371"/>
      <c r="AV9" s="370"/>
      <c r="AW9" s="370"/>
      <c r="AX9" s="371"/>
      <c r="AY9" s="371"/>
      <c r="AZ9" s="370"/>
      <c r="BA9" s="370"/>
      <c r="BB9" s="371"/>
      <c r="BC9" s="371"/>
      <c r="BD9" s="370"/>
      <c r="BE9" s="370"/>
      <c r="BF9" s="371"/>
      <c r="BG9" s="371"/>
      <c r="BH9" s="370"/>
      <c r="BI9" s="370"/>
      <c r="BJ9" s="371"/>
      <c r="BK9" s="371"/>
      <c r="BL9" s="370"/>
      <c r="BM9" s="370"/>
      <c r="BN9" s="371"/>
      <c r="BO9" s="371"/>
      <c r="BP9" s="370"/>
      <c r="BQ9" s="370"/>
      <c r="BR9" s="371"/>
      <c r="BS9" s="371"/>
      <c r="BT9" s="370"/>
      <c r="BU9" s="370"/>
      <c r="BV9" s="371"/>
      <c r="BW9" s="371"/>
      <c r="BX9" s="370"/>
      <c r="BY9" s="370"/>
      <c r="BZ9" s="371"/>
      <c r="CA9" s="371"/>
      <c r="CB9" s="370"/>
      <c r="CC9" s="370"/>
      <c r="CD9" s="371"/>
      <c r="CE9" s="371"/>
      <c r="CF9" s="370"/>
      <c r="CG9" s="370"/>
      <c r="CH9" s="371"/>
      <c r="CI9" s="371"/>
      <c r="CJ9" s="370"/>
      <c r="CK9" s="370"/>
      <c r="CL9" s="371"/>
      <c r="CM9" s="371"/>
      <c r="CN9" s="370"/>
      <c r="CO9" s="370"/>
      <c r="CP9" s="371"/>
      <c r="CQ9" s="371"/>
      <c r="CR9" s="370"/>
      <c r="CS9" s="370"/>
      <c r="CT9" s="371"/>
      <c r="CU9" s="371"/>
      <c r="CV9" s="370"/>
      <c r="CW9" s="370"/>
      <c r="CX9" s="371"/>
      <c r="CY9" s="371"/>
      <c r="CZ9" s="370"/>
      <c r="DA9" s="370"/>
      <c r="DB9" s="371"/>
      <c r="DC9" s="371"/>
      <c r="DD9" s="370"/>
      <c r="DE9" s="370"/>
      <c r="DF9" s="371"/>
      <c r="DG9" s="371"/>
      <c r="DH9" s="370"/>
      <c r="DI9" s="370"/>
      <c r="DJ9" s="371"/>
      <c r="DK9" s="371"/>
      <c r="DL9" s="370"/>
      <c r="DM9" s="370"/>
      <c r="DN9" s="371"/>
      <c r="DO9" s="371"/>
      <c r="DP9" s="370"/>
      <c r="DQ9" s="370"/>
      <c r="DR9" s="371"/>
      <c r="DS9" s="371"/>
      <c r="DT9" s="370"/>
      <c r="DU9" s="370"/>
      <c r="DV9" s="371"/>
      <c r="DW9" s="371"/>
      <c r="DX9" s="370"/>
      <c r="DY9" s="370"/>
      <c r="DZ9" s="371"/>
      <c r="EA9" s="371"/>
      <c r="EB9" s="370"/>
      <c r="EC9" s="370"/>
      <c r="ED9" s="371"/>
      <c r="EE9" s="371"/>
      <c r="EF9" s="370"/>
      <c r="EG9" s="370"/>
      <c r="EH9" s="371"/>
      <c r="EI9" s="371"/>
      <c r="EJ9" s="370"/>
      <c r="EK9" s="370"/>
      <c r="EL9" s="371"/>
      <c r="EM9" s="371"/>
      <c r="EN9" s="370"/>
      <c r="EO9" s="370"/>
      <c r="EP9" s="371"/>
      <c r="EQ9" s="371"/>
      <c r="ER9" s="370"/>
      <c r="ES9" s="370"/>
      <c r="ET9" s="371"/>
      <c r="EU9" s="371"/>
      <c r="EV9" s="370"/>
      <c r="EW9" s="370"/>
      <c r="EX9" s="371"/>
      <c r="EY9" s="371"/>
      <c r="EZ9" s="370"/>
      <c r="FA9" s="370"/>
      <c r="FB9" s="371"/>
      <c r="FC9" s="371"/>
      <c r="FD9" s="370"/>
      <c r="FE9" s="370"/>
      <c r="FF9" s="371"/>
      <c r="FG9" s="371"/>
      <c r="FH9" s="370"/>
      <c r="FI9" s="370"/>
      <c r="FJ9" s="371"/>
      <c r="FK9" s="371"/>
      <c r="FL9" s="370"/>
      <c r="FM9" s="370"/>
      <c r="FN9" s="371"/>
      <c r="FO9" s="371"/>
      <c r="FP9" s="370"/>
      <c r="FQ9" s="370"/>
      <c r="FR9" s="371"/>
      <c r="FS9" s="371"/>
      <c r="FT9" s="370"/>
      <c r="FU9" s="370"/>
      <c r="FV9" s="371"/>
      <c r="FW9" s="371"/>
      <c r="FX9" s="370"/>
      <c r="FY9" s="370"/>
      <c r="FZ9" s="371"/>
      <c r="GA9" s="371"/>
      <c r="GB9" s="370"/>
      <c r="GC9" s="370"/>
      <c r="GD9" s="371"/>
      <c r="GE9" s="371"/>
      <c r="GF9" s="370"/>
      <c r="GG9" s="370"/>
      <c r="GH9" s="371"/>
      <c r="GI9" s="371"/>
      <c r="GJ9" s="370"/>
      <c r="GK9" s="370"/>
      <c r="GL9" s="371"/>
      <c r="GM9" s="371"/>
      <c r="GN9" s="370"/>
      <c r="GO9" s="370"/>
      <c r="GP9" s="371"/>
      <c r="GQ9" s="371"/>
      <c r="GR9" s="370"/>
      <c r="GS9" s="370"/>
    </row>
    <row r="10">
      <c r="A10" s="380" t="s">
        <v>264</v>
      </c>
      <c r="B10" s="371"/>
      <c r="C10" s="371"/>
      <c r="D10" s="370"/>
      <c r="E10" s="370"/>
      <c r="F10" s="371"/>
      <c r="G10" s="371"/>
      <c r="H10" s="370"/>
      <c r="I10" s="370"/>
      <c r="J10" s="371"/>
      <c r="K10" s="371"/>
      <c r="L10" s="370"/>
      <c r="M10" s="370"/>
      <c r="N10" s="371"/>
      <c r="O10" s="371"/>
      <c r="P10" s="370"/>
      <c r="Q10" s="370"/>
      <c r="R10" s="371"/>
      <c r="S10" s="371"/>
      <c r="T10" s="370"/>
      <c r="U10" s="370"/>
      <c r="V10" s="371"/>
      <c r="W10" s="371"/>
      <c r="X10" s="370"/>
      <c r="Y10" s="370"/>
      <c r="Z10" s="371"/>
      <c r="AA10" s="371"/>
      <c r="AB10" s="370"/>
      <c r="AC10" s="370"/>
      <c r="AD10" s="371"/>
      <c r="AE10" s="371"/>
      <c r="AF10" s="370"/>
      <c r="AG10" s="370"/>
      <c r="AH10" s="371"/>
      <c r="AI10" s="371"/>
      <c r="AJ10" s="370"/>
      <c r="AK10" s="370"/>
      <c r="AL10" s="371"/>
      <c r="AM10" s="371"/>
      <c r="AN10" s="370"/>
      <c r="AO10" s="370"/>
      <c r="AP10" s="371"/>
      <c r="AQ10" s="371"/>
      <c r="AR10" s="370"/>
      <c r="AS10" s="370"/>
      <c r="AT10" s="371"/>
      <c r="AU10" s="371"/>
      <c r="AV10" s="370"/>
      <c r="AW10" s="370"/>
      <c r="AX10" s="371"/>
      <c r="AY10" s="371"/>
      <c r="AZ10" s="370"/>
      <c r="BA10" s="370"/>
      <c r="BB10" s="371"/>
      <c r="BC10" s="371"/>
      <c r="BD10" s="370"/>
      <c r="BE10" s="370"/>
      <c r="BF10" s="371"/>
      <c r="BG10" s="371"/>
      <c r="BH10" s="370"/>
      <c r="BI10" s="370"/>
      <c r="BJ10" s="371"/>
      <c r="BK10" s="371"/>
      <c r="BL10" s="370"/>
      <c r="BM10" s="370"/>
      <c r="BN10" s="371"/>
      <c r="BO10" s="371"/>
      <c r="BP10" s="370"/>
      <c r="BQ10" s="370"/>
      <c r="BR10" s="371"/>
      <c r="BS10" s="371"/>
      <c r="BT10" s="370"/>
      <c r="BU10" s="370"/>
      <c r="BV10" s="371"/>
      <c r="BW10" s="371"/>
      <c r="BX10" s="370"/>
      <c r="BY10" s="370"/>
      <c r="BZ10" s="371"/>
      <c r="CA10" s="371"/>
      <c r="CB10" s="370"/>
      <c r="CC10" s="370"/>
      <c r="CD10" s="371"/>
      <c r="CE10" s="371"/>
      <c r="CF10" s="370"/>
      <c r="CG10" s="370"/>
      <c r="CH10" s="371"/>
      <c r="CI10" s="371"/>
      <c r="CJ10" s="370"/>
      <c r="CK10" s="370"/>
      <c r="CL10" s="371"/>
      <c r="CM10" s="371"/>
      <c r="CN10" s="370"/>
      <c r="CO10" s="370"/>
      <c r="CP10" s="371"/>
      <c r="CQ10" s="371"/>
      <c r="CR10" s="370"/>
      <c r="CS10" s="370"/>
      <c r="CT10" s="371"/>
      <c r="CU10" s="371"/>
      <c r="CV10" s="370"/>
      <c r="CW10" s="370"/>
      <c r="CX10" s="371"/>
      <c r="CY10" s="371"/>
      <c r="CZ10" s="370"/>
      <c r="DA10" s="370"/>
      <c r="DB10" s="371"/>
      <c r="DC10" s="371"/>
      <c r="DD10" s="370"/>
      <c r="DE10" s="370"/>
      <c r="DF10" s="371"/>
      <c r="DG10" s="371"/>
      <c r="DH10" s="370"/>
      <c r="DI10" s="370"/>
      <c r="DJ10" s="371"/>
      <c r="DK10" s="371"/>
      <c r="DL10" s="370"/>
      <c r="DM10" s="370"/>
      <c r="DN10" s="371"/>
      <c r="DO10" s="371"/>
      <c r="DP10" s="370"/>
      <c r="DQ10" s="370"/>
      <c r="DR10" s="371"/>
      <c r="DS10" s="371"/>
      <c r="DT10" s="370"/>
      <c r="DU10" s="370"/>
      <c r="DV10" s="371"/>
      <c r="DW10" s="371"/>
      <c r="DX10" s="370"/>
      <c r="DY10" s="370"/>
      <c r="DZ10" s="371"/>
      <c r="EA10" s="371"/>
      <c r="EB10" s="370"/>
      <c r="EC10" s="370"/>
      <c r="ED10" s="371"/>
      <c r="EE10" s="371"/>
      <c r="EF10" s="370"/>
      <c r="EG10" s="370"/>
      <c r="EH10" s="371"/>
      <c r="EI10" s="371"/>
      <c r="EJ10" s="370"/>
      <c r="EK10" s="370"/>
      <c r="EL10" s="371"/>
      <c r="EM10" s="371"/>
      <c r="EN10" s="370"/>
      <c r="EO10" s="370"/>
      <c r="EP10" s="371"/>
      <c r="EQ10" s="371"/>
      <c r="ER10" s="370"/>
      <c r="ES10" s="370"/>
      <c r="ET10" s="371"/>
      <c r="EU10" s="371"/>
      <c r="EV10" s="370"/>
      <c r="EW10" s="370"/>
      <c r="EX10" s="371"/>
      <c r="EY10" s="371"/>
      <c r="EZ10" s="370"/>
      <c r="FA10" s="370"/>
      <c r="FB10" s="371"/>
      <c r="FC10" s="371"/>
      <c r="FD10" s="370"/>
      <c r="FE10" s="370"/>
      <c r="FF10" s="371"/>
      <c r="FG10" s="371"/>
      <c r="FH10" s="370"/>
      <c r="FI10" s="370"/>
      <c r="FJ10" s="371"/>
      <c r="FK10" s="371"/>
      <c r="FL10" s="370"/>
      <c r="FM10" s="370"/>
      <c r="FN10" s="371"/>
      <c r="FO10" s="371"/>
      <c r="FP10" s="370"/>
      <c r="FQ10" s="370"/>
      <c r="FR10" s="371"/>
      <c r="FS10" s="371"/>
      <c r="FT10" s="370"/>
      <c r="FU10" s="370"/>
      <c r="FV10" s="371"/>
      <c r="FW10" s="371"/>
      <c r="FX10" s="370"/>
      <c r="FY10" s="370"/>
      <c r="FZ10" s="371"/>
      <c r="GA10" s="371"/>
      <c r="GB10" s="370"/>
      <c r="GC10" s="370"/>
      <c r="GD10" s="371"/>
      <c r="GE10" s="371"/>
      <c r="GF10" s="370"/>
      <c r="GG10" s="370"/>
      <c r="GH10" s="371"/>
      <c r="GI10" s="371"/>
      <c r="GJ10" s="370"/>
      <c r="GK10" s="370"/>
      <c r="GL10" s="371"/>
      <c r="GM10" s="371"/>
      <c r="GN10" s="370"/>
      <c r="GO10" s="370"/>
      <c r="GP10" s="371"/>
      <c r="GQ10" s="371"/>
      <c r="GR10" s="370"/>
      <c r="GS10" s="370"/>
    </row>
    <row r="11">
      <c r="A11" s="365" t="s">
        <v>265</v>
      </c>
      <c r="B11" s="365"/>
      <c r="C11" s="365"/>
      <c r="D11" s="365"/>
      <c r="E11" s="365"/>
      <c r="F11" s="365"/>
      <c r="G11" s="365"/>
      <c r="H11" s="365"/>
      <c r="I11" s="365"/>
      <c r="J11" s="365"/>
      <c r="K11" s="365"/>
      <c r="L11" s="365"/>
      <c r="M11" s="365"/>
      <c r="N11" s="365"/>
      <c r="O11" s="365"/>
      <c r="P11" s="365"/>
      <c r="Q11" s="365"/>
      <c r="R11" s="365"/>
      <c r="S11" s="365"/>
      <c r="T11" s="365"/>
      <c r="U11" s="365"/>
      <c r="V11" s="365"/>
      <c r="W11" s="365"/>
      <c r="X11" s="365"/>
      <c r="Y11" s="365"/>
      <c r="Z11" s="365"/>
      <c r="AA11" s="365"/>
      <c r="AB11" s="365"/>
      <c r="AC11" s="365"/>
      <c r="AD11" s="365"/>
      <c r="AE11" s="365"/>
      <c r="AF11" s="365"/>
      <c r="AG11" s="365"/>
      <c r="AH11" s="365"/>
      <c r="AI11" s="365"/>
      <c r="AJ11" s="365"/>
      <c r="AK11" s="365"/>
      <c r="AL11" s="365"/>
      <c r="AM11" s="365"/>
      <c r="AN11" s="365"/>
      <c r="AO11" s="365"/>
      <c r="AP11" s="365"/>
      <c r="AQ11" s="365"/>
      <c r="AR11" s="365"/>
      <c r="AS11" s="365"/>
      <c r="AT11" s="365"/>
      <c r="AU11" s="365"/>
      <c r="AV11" s="365"/>
      <c r="AW11" s="365"/>
      <c r="AX11" s="365"/>
      <c r="AY11" s="365"/>
      <c r="AZ11" s="365"/>
      <c r="BA11" s="365"/>
      <c r="BB11" s="365"/>
      <c r="BC11" s="365"/>
      <c r="BD11" s="365"/>
      <c r="BE11" s="365"/>
      <c r="BF11" s="365"/>
      <c r="BG11" s="365"/>
      <c r="BH11" s="365"/>
      <c r="BI11" s="365"/>
      <c r="BJ11" s="365"/>
      <c r="BK11" s="365"/>
      <c r="BL11" s="365"/>
      <c r="BM11" s="365"/>
      <c r="BN11" s="365"/>
      <c r="BO11" s="365"/>
      <c r="BP11" s="365"/>
      <c r="BQ11" s="365"/>
      <c r="BR11" s="365"/>
      <c r="BS11" s="365"/>
      <c r="BT11" s="365"/>
      <c r="BU11" s="365"/>
      <c r="BV11" s="365"/>
      <c r="BW11" s="365"/>
      <c r="BX11" s="365"/>
      <c r="BY11" s="365"/>
      <c r="BZ11" s="365"/>
      <c r="CA11" s="365"/>
      <c r="CB11" s="365"/>
      <c r="CC11" s="365"/>
      <c r="CD11" s="365"/>
      <c r="CE11" s="365"/>
      <c r="CF11" s="365"/>
      <c r="CG11" s="365"/>
      <c r="CH11" s="365"/>
      <c r="CI11" s="365"/>
      <c r="CJ11" s="365"/>
      <c r="CK11" s="365"/>
      <c r="CL11" s="365"/>
      <c r="CM11" s="365"/>
      <c r="CN11" s="365"/>
      <c r="CO11" s="365"/>
      <c r="CP11" s="365"/>
      <c r="CQ11" s="365"/>
      <c r="CR11" s="365"/>
      <c r="CS11" s="365"/>
      <c r="CT11" s="365"/>
      <c r="CU11" s="365"/>
      <c r="CV11" s="365"/>
      <c r="CW11" s="365"/>
      <c r="CX11" s="365"/>
      <c r="CY11" s="365"/>
      <c r="CZ11" s="365"/>
      <c r="DA11" s="365"/>
      <c r="DB11" s="365"/>
      <c r="DC11" s="365"/>
      <c r="DD11" s="365"/>
      <c r="DE11" s="365"/>
      <c r="DF11" s="365"/>
      <c r="DG11" s="365"/>
      <c r="DH11" s="365"/>
      <c r="DI11" s="365"/>
      <c r="DJ11" s="365"/>
      <c r="DK11" s="365"/>
      <c r="DL11" s="365"/>
      <c r="DM11" s="365"/>
      <c r="DN11" s="365"/>
      <c r="DO11" s="365"/>
      <c r="DP11" s="365"/>
      <c r="DQ11" s="365"/>
      <c r="DR11" s="365"/>
      <c r="DS11" s="365"/>
      <c r="DT11" s="365"/>
      <c r="DU11" s="365"/>
      <c r="DV11" s="365"/>
      <c r="DW11" s="365"/>
      <c r="DX11" s="365"/>
      <c r="DY11" s="365"/>
      <c r="DZ11" s="365"/>
      <c r="EA11" s="365"/>
      <c r="EB11" s="365"/>
      <c r="EC11" s="365"/>
      <c r="ED11" s="365"/>
      <c r="EE11" s="365"/>
      <c r="EF11" s="365"/>
      <c r="EG11" s="365"/>
      <c r="EH11" s="365"/>
      <c r="EI11" s="365"/>
      <c r="EJ11" s="365"/>
      <c r="EK11" s="365"/>
      <c r="EL11" s="365"/>
      <c r="EM11" s="365"/>
      <c r="EN11" s="365"/>
      <c r="EO11" s="365"/>
      <c r="EP11" s="365"/>
      <c r="EQ11" s="365"/>
      <c r="ER11" s="365"/>
      <c r="ES11" s="365"/>
      <c r="ET11" s="365"/>
      <c r="EU11" s="365"/>
      <c r="EV11" s="365"/>
      <c r="EW11" s="365"/>
      <c r="EX11" s="365"/>
      <c r="EY11" s="365"/>
      <c r="EZ11" s="365"/>
      <c r="FA11" s="365"/>
      <c r="FB11" s="365"/>
      <c r="FC11" s="365"/>
      <c r="FD11" s="365"/>
      <c r="FE11" s="365"/>
      <c r="FF11" s="365"/>
      <c r="FG11" s="365"/>
      <c r="FH11" s="365"/>
      <c r="FI11" s="365"/>
      <c r="FJ11" s="365"/>
      <c r="FK11" s="365"/>
      <c r="FL11" s="365"/>
      <c r="FM11" s="365"/>
      <c r="FN11" s="365"/>
      <c r="FO11" s="365"/>
      <c r="FP11" s="365"/>
      <c r="FQ11" s="365"/>
      <c r="FR11" s="365"/>
      <c r="FS11" s="365"/>
      <c r="FT11" s="365"/>
      <c r="FU11" s="365"/>
      <c r="FV11" s="365"/>
      <c r="FW11" s="365"/>
      <c r="FX11" s="365"/>
      <c r="FY11" s="365"/>
      <c r="FZ11" s="365"/>
      <c r="GA11" s="365"/>
      <c r="GB11" s="365"/>
      <c r="GC11" s="365"/>
      <c r="GD11" s="365"/>
      <c r="GE11" s="365"/>
      <c r="GF11" s="365"/>
      <c r="GG11" s="365"/>
      <c r="GH11" s="365"/>
      <c r="GI11" s="365"/>
      <c r="GJ11" s="365"/>
      <c r="GK11" s="365"/>
      <c r="GL11" s="365"/>
      <c r="GM11" s="365"/>
      <c r="GN11" s="365"/>
      <c r="GO11" s="365"/>
      <c r="GP11" s="365"/>
      <c r="GQ11" s="365"/>
      <c r="GR11" s="365"/>
      <c r="GS11" s="365"/>
    </row>
    <row r="12">
      <c r="A12" s="380" t="s">
        <v>266</v>
      </c>
      <c r="B12" s="371"/>
      <c r="C12" s="371"/>
      <c r="D12" s="370"/>
      <c r="E12" s="370"/>
      <c r="F12" s="371"/>
      <c r="G12" s="371"/>
      <c r="H12" s="370"/>
      <c r="I12" s="370"/>
      <c r="J12" s="371"/>
      <c r="K12" s="371"/>
      <c r="L12" s="370"/>
      <c r="M12" s="370"/>
      <c r="N12" s="371"/>
      <c r="O12" s="371"/>
      <c r="P12" s="370"/>
      <c r="Q12" s="370"/>
      <c r="R12" s="371"/>
      <c r="S12" s="371"/>
      <c r="T12" s="370"/>
      <c r="U12" s="370"/>
      <c r="V12" s="371"/>
      <c r="W12" s="371"/>
      <c r="X12" s="370"/>
      <c r="Y12" s="370"/>
      <c r="Z12" s="371"/>
      <c r="AA12" s="371"/>
      <c r="AB12" s="370"/>
      <c r="AC12" s="370"/>
      <c r="AD12" s="371"/>
      <c r="AE12" s="371"/>
      <c r="AF12" s="370"/>
      <c r="AG12" s="370"/>
      <c r="AH12" s="371"/>
      <c r="AI12" s="371"/>
      <c r="AJ12" s="370"/>
      <c r="AK12" s="370"/>
      <c r="AL12" s="371"/>
      <c r="AM12" s="371"/>
      <c r="AN12" s="370"/>
      <c r="AO12" s="370"/>
      <c r="AP12" s="371"/>
      <c r="AQ12" s="371"/>
      <c r="AR12" s="370"/>
      <c r="AS12" s="370"/>
      <c r="AT12" s="371"/>
      <c r="AU12" s="371"/>
      <c r="AV12" s="370"/>
      <c r="AW12" s="370"/>
      <c r="AX12" s="371"/>
      <c r="AY12" s="371"/>
      <c r="AZ12" s="370"/>
      <c r="BA12" s="370"/>
      <c r="BB12" s="371"/>
      <c r="BC12" s="371"/>
      <c r="BD12" s="370"/>
      <c r="BE12" s="370"/>
      <c r="BF12" s="371"/>
      <c r="BG12" s="371"/>
      <c r="BH12" s="370"/>
      <c r="BI12" s="370"/>
      <c r="BJ12" s="371"/>
      <c r="BK12" s="371"/>
      <c r="BL12" s="370"/>
      <c r="BM12" s="370"/>
      <c r="BN12" s="371"/>
      <c r="BO12" s="371"/>
      <c r="BP12" s="370"/>
      <c r="BQ12" s="370"/>
      <c r="BR12" s="371"/>
      <c r="BS12" s="371"/>
      <c r="BT12" s="370"/>
      <c r="BU12" s="370"/>
      <c r="BV12" s="371"/>
      <c r="BW12" s="371"/>
      <c r="BX12" s="370"/>
      <c r="BY12" s="370"/>
      <c r="BZ12" s="371"/>
      <c r="CA12" s="371"/>
      <c r="CB12" s="370"/>
      <c r="CC12" s="370"/>
      <c r="CD12" s="371"/>
      <c r="CE12" s="371"/>
      <c r="CF12" s="370"/>
      <c r="CG12" s="370"/>
      <c r="CH12" s="371"/>
      <c r="CI12" s="371"/>
      <c r="CJ12" s="370"/>
      <c r="CK12" s="370"/>
      <c r="CL12" s="371"/>
      <c r="CM12" s="371"/>
      <c r="CN12" s="370"/>
      <c r="CO12" s="370"/>
      <c r="CP12" s="371"/>
      <c r="CQ12" s="371"/>
      <c r="CR12" s="370"/>
      <c r="CS12" s="370"/>
      <c r="CT12" s="371"/>
      <c r="CU12" s="371"/>
      <c r="CV12" s="370"/>
      <c r="CW12" s="370"/>
      <c r="CX12" s="371"/>
      <c r="CY12" s="371"/>
      <c r="CZ12" s="370"/>
      <c r="DA12" s="370"/>
      <c r="DB12" s="371"/>
      <c r="DC12" s="371"/>
      <c r="DD12" s="370"/>
      <c r="DE12" s="370"/>
      <c r="DF12" s="371"/>
      <c r="DG12" s="371"/>
      <c r="DH12" s="370"/>
      <c r="DI12" s="370"/>
      <c r="DJ12" s="371"/>
      <c r="DK12" s="371"/>
      <c r="DL12" s="370"/>
      <c r="DM12" s="370"/>
      <c r="DN12" s="371"/>
      <c r="DO12" s="371"/>
      <c r="DP12" s="370"/>
      <c r="DQ12" s="370"/>
      <c r="DR12" s="371"/>
      <c r="DS12" s="371"/>
      <c r="DT12" s="370"/>
      <c r="DU12" s="370"/>
      <c r="DV12" s="371"/>
      <c r="DW12" s="371"/>
      <c r="DX12" s="370"/>
      <c r="DY12" s="370"/>
      <c r="DZ12" s="371"/>
      <c r="EA12" s="371"/>
      <c r="EB12" s="370"/>
      <c r="EC12" s="370"/>
      <c r="ED12" s="371"/>
      <c r="EE12" s="371"/>
      <c r="EF12" s="370"/>
      <c r="EG12" s="370"/>
      <c r="EH12" s="371"/>
      <c r="EI12" s="371"/>
      <c r="EJ12" s="370"/>
      <c r="EK12" s="370"/>
      <c r="EL12" s="371"/>
      <c r="EM12" s="371"/>
      <c r="EN12" s="370"/>
      <c r="EO12" s="370"/>
      <c r="EP12" s="371"/>
      <c r="EQ12" s="371"/>
      <c r="ER12" s="370"/>
      <c r="ES12" s="370"/>
      <c r="ET12" s="371"/>
      <c r="EU12" s="371"/>
      <c r="EV12" s="370"/>
      <c r="EW12" s="370"/>
      <c r="EX12" s="371"/>
      <c r="EY12" s="371"/>
      <c r="EZ12" s="370"/>
      <c r="FA12" s="370"/>
      <c r="FB12" s="371"/>
      <c r="FC12" s="371"/>
      <c r="FD12" s="370"/>
      <c r="FE12" s="370"/>
      <c r="FF12" s="371"/>
      <c r="FG12" s="371"/>
      <c r="FH12" s="370"/>
      <c r="FI12" s="370"/>
      <c r="FJ12" s="371"/>
      <c r="FK12" s="371"/>
      <c r="FL12" s="370"/>
      <c r="FM12" s="370"/>
      <c r="FN12" s="371"/>
      <c r="FO12" s="371"/>
      <c r="FP12" s="370"/>
      <c r="FQ12" s="370"/>
      <c r="FR12" s="371"/>
      <c r="FS12" s="371"/>
      <c r="FT12" s="370"/>
      <c r="FU12" s="370"/>
      <c r="FV12" s="371"/>
      <c r="FW12" s="371"/>
      <c r="FX12" s="370"/>
      <c r="FY12" s="370"/>
      <c r="FZ12" s="371"/>
      <c r="GA12" s="371"/>
      <c r="GB12" s="370"/>
      <c r="GC12" s="370"/>
      <c r="GD12" s="371"/>
      <c r="GE12" s="371"/>
      <c r="GF12" s="370"/>
      <c r="GG12" s="370"/>
      <c r="GH12" s="371"/>
      <c r="GI12" s="371"/>
      <c r="GJ12" s="370"/>
      <c r="GK12" s="370"/>
      <c r="GL12" s="371"/>
      <c r="GM12" s="371"/>
      <c r="GN12" s="370"/>
      <c r="GO12" s="370"/>
      <c r="GP12" s="371"/>
      <c r="GQ12" s="371"/>
      <c r="GR12" s="370"/>
      <c r="GS12" s="370"/>
    </row>
    <row r="13">
      <c r="A13" s="380" t="s">
        <v>267</v>
      </c>
      <c r="B13" s="371"/>
      <c r="C13" s="371"/>
      <c r="D13" s="370"/>
      <c r="E13" s="370"/>
      <c r="F13" s="371"/>
      <c r="G13" s="371"/>
      <c r="H13" s="370"/>
      <c r="I13" s="370"/>
      <c r="J13" s="371"/>
      <c r="K13" s="371"/>
      <c r="L13" s="370"/>
      <c r="M13" s="370"/>
      <c r="N13" s="371"/>
      <c r="O13" s="371"/>
      <c r="P13" s="370"/>
      <c r="Q13" s="370"/>
      <c r="R13" s="371"/>
      <c r="S13" s="371"/>
      <c r="T13" s="370"/>
      <c r="U13" s="370"/>
      <c r="V13" s="371"/>
      <c r="W13" s="371"/>
      <c r="X13" s="370"/>
      <c r="Y13" s="370"/>
      <c r="Z13" s="371"/>
      <c r="AA13" s="371"/>
      <c r="AB13" s="370"/>
      <c r="AC13" s="370"/>
      <c r="AD13" s="371"/>
      <c r="AE13" s="371"/>
      <c r="AF13" s="370"/>
      <c r="AG13" s="370"/>
      <c r="AH13" s="371"/>
      <c r="AI13" s="371"/>
      <c r="AJ13" s="370"/>
      <c r="AK13" s="370"/>
      <c r="AL13" s="371"/>
      <c r="AM13" s="371"/>
      <c r="AN13" s="370"/>
      <c r="AO13" s="370"/>
      <c r="AP13" s="371"/>
      <c r="AQ13" s="371"/>
      <c r="AR13" s="370"/>
      <c r="AS13" s="370"/>
      <c r="AT13" s="371"/>
      <c r="AU13" s="371"/>
      <c r="AV13" s="370"/>
      <c r="AW13" s="370"/>
      <c r="AX13" s="371"/>
      <c r="AY13" s="371"/>
      <c r="AZ13" s="370"/>
      <c r="BA13" s="370"/>
      <c r="BB13" s="371"/>
      <c r="BC13" s="371"/>
      <c r="BD13" s="370"/>
      <c r="BE13" s="370"/>
      <c r="BF13" s="371"/>
      <c r="BG13" s="371"/>
      <c r="BH13" s="370"/>
      <c r="BI13" s="370"/>
      <c r="BJ13" s="371"/>
      <c r="BK13" s="371"/>
      <c r="BL13" s="370"/>
      <c r="BM13" s="370"/>
      <c r="BN13" s="371"/>
      <c r="BO13" s="371"/>
      <c r="BP13" s="370"/>
      <c r="BQ13" s="370"/>
      <c r="BR13" s="371"/>
      <c r="BS13" s="371"/>
      <c r="BT13" s="370"/>
      <c r="BU13" s="370"/>
      <c r="BV13" s="371"/>
      <c r="BW13" s="371"/>
      <c r="BX13" s="370"/>
      <c r="BY13" s="370"/>
      <c r="BZ13" s="371"/>
      <c r="CA13" s="371"/>
      <c r="CB13" s="370"/>
      <c r="CC13" s="370"/>
      <c r="CD13" s="371"/>
      <c r="CE13" s="371"/>
      <c r="CF13" s="370"/>
      <c r="CG13" s="370"/>
      <c r="CH13" s="371"/>
      <c r="CI13" s="371"/>
      <c r="CJ13" s="370"/>
      <c r="CK13" s="370"/>
      <c r="CL13" s="371"/>
      <c r="CM13" s="371"/>
      <c r="CN13" s="370"/>
      <c r="CO13" s="370"/>
      <c r="CP13" s="371"/>
      <c r="CQ13" s="371"/>
      <c r="CR13" s="370"/>
      <c r="CS13" s="370"/>
      <c r="CT13" s="371"/>
      <c r="CU13" s="371"/>
      <c r="CV13" s="370"/>
      <c r="CW13" s="370"/>
      <c r="CX13" s="371"/>
      <c r="CY13" s="371"/>
      <c r="CZ13" s="370"/>
      <c r="DA13" s="370"/>
      <c r="DB13" s="371"/>
      <c r="DC13" s="371"/>
      <c r="DD13" s="370"/>
      <c r="DE13" s="370"/>
      <c r="DF13" s="371"/>
      <c r="DG13" s="371"/>
      <c r="DH13" s="370"/>
      <c r="DI13" s="370"/>
      <c r="DJ13" s="371"/>
      <c r="DK13" s="371"/>
      <c r="DL13" s="370"/>
      <c r="DM13" s="370"/>
      <c r="DN13" s="371"/>
      <c r="DO13" s="371"/>
      <c r="DP13" s="370"/>
      <c r="DQ13" s="370"/>
      <c r="DR13" s="371"/>
      <c r="DS13" s="371"/>
      <c r="DT13" s="370"/>
      <c r="DU13" s="370"/>
      <c r="DV13" s="371"/>
      <c r="DW13" s="371"/>
      <c r="DX13" s="370"/>
      <c r="DY13" s="370"/>
      <c r="DZ13" s="371"/>
      <c r="EA13" s="371"/>
      <c r="EB13" s="370"/>
      <c r="EC13" s="370"/>
      <c r="ED13" s="371"/>
      <c r="EE13" s="371"/>
      <c r="EF13" s="370"/>
      <c r="EG13" s="370"/>
      <c r="EH13" s="371"/>
      <c r="EI13" s="371"/>
      <c r="EJ13" s="370"/>
      <c r="EK13" s="370"/>
      <c r="EL13" s="371"/>
      <c r="EM13" s="371"/>
      <c r="EN13" s="370"/>
      <c r="EO13" s="370"/>
      <c r="EP13" s="371"/>
      <c r="EQ13" s="371"/>
      <c r="ER13" s="370"/>
      <c r="ES13" s="370"/>
      <c r="ET13" s="371"/>
      <c r="EU13" s="371"/>
      <c r="EV13" s="370"/>
      <c r="EW13" s="370"/>
      <c r="EX13" s="371"/>
      <c r="EY13" s="371"/>
      <c r="EZ13" s="370"/>
      <c r="FA13" s="370"/>
      <c r="FB13" s="371"/>
      <c r="FC13" s="371"/>
      <c r="FD13" s="370"/>
      <c r="FE13" s="370"/>
      <c r="FF13" s="371"/>
      <c r="FG13" s="371"/>
      <c r="FH13" s="370"/>
      <c r="FI13" s="370"/>
      <c r="FJ13" s="371"/>
      <c r="FK13" s="371"/>
      <c r="FL13" s="370"/>
      <c r="FM13" s="370"/>
      <c r="FN13" s="371"/>
      <c r="FO13" s="371"/>
      <c r="FP13" s="370"/>
      <c r="FQ13" s="370"/>
      <c r="FR13" s="371"/>
      <c r="FS13" s="371"/>
      <c r="FT13" s="370"/>
      <c r="FU13" s="370"/>
      <c r="FV13" s="371"/>
      <c r="FW13" s="371"/>
      <c r="FX13" s="370"/>
      <c r="FY13" s="370"/>
      <c r="FZ13" s="371"/>
      <c r="GA13" s="371"/>
      <c r="GB13" s="370"/>
      <c r="GC13" s="370"/>
      <c r="GD13" s="371"/>
      <c r="GE13" s="371"/>
      <c r="GF13" s="370"/>
      <c r="GG13" s="370"/>
      <c r="GH13" s="371"/>
      <c r="GI13" s="371"/>
      <c r="GJ13" s="370"/>
      <c r="GK13" s="370"/>
      <c r="GL13" s="371"/>
      <c r="GM13" s="371"/>
      <c r="GN13" s="370"/>
      <c r="GO13" s="370"/>
      <c r="GP13" s="371"/>
      <c r="GQ13" s="371"/>
      <c r="GR13" s="370"/>
      <c r="GS13" s="370"/>
    </row>
    <row r="14">
      <c r="A14" s="380" t="s">
        <v>268</v>
      </c>
      <c r="B14" s="371"/>
      <c r="C14" s="371"/>
      <c r="D14" s="370"/>
      <c r="E14" s="370"/>
      <c r="F14" s="371"/>
      <c r="G14" s="371"/>
      <c r="H14" s="370"/>
      <c r="I14" s="370"/>
      <c r="J14" s="371"/>
      <c r="K14" s="371"/>
      <c r="L14" s="370"/>
      <c r="M14" s="370"/>
      <c r="N14" s="371"/>
      <c r="O14" s="371"/>
      <c r="P14" s="370"/>
      <c r="Q14" s="370"/>
      <c r="R14" s="371"/>
      <c r="S14" s="371"/>
      <c r="T14" s="370"/>
      <c r="U14" s="370"/>
      <c r="V14" s="371"/>
      <c r="W14" s="371"/>
      <c r="X14" s="370"/>
      <c r="Y14" s="370"/>
      <c r="Z14" s="371"/>
      <c r="AA14" s="371"/>
      <c r="AB14" s="370"/>
      <c r="AC14" s="370"/>
      <c r="AD14" s="371"/>
      <c r="AE14" s="371"/>
      <c r="AF14" s="370"/>
      <c r="AG14" s="370"/>
      <c r="AH14" s="371"/>
      <c r="AI14" s="371"/>
      <c r="AJ14" s="370"/>
      <c r="AK14" s="370"/>
      <c r="AL14" s="371"/>
      <c r="AM14" s="371"/>
      <c r="AN14" s="370"/>
      <c r="AO14" s="370"/>
      <c r="AP14" s="371"/>
      <c r="AQ14" s="371"/>
      <c r="AR14" s="370"/>
      <c r="AS14" s="370"/>
      <c r="AT14" s="371"/>
      <c r="AU14" s="371"/>
      <c r="AV14" s="370"/>
      <c r="AW14" s="370"/>
      <c r="AX14" s="371"/>
      <c r="AY14" s="371"/>
      <c r="AZ14" s="370"/>
      <c r="BA14" s="370"/>
      <c r="BB14" s="371"/>
      <c r="BC14" s="371"/>
      <c r="BD14" s="370"/>
      <c r="BE14" s="370"/>
      <c r="BF14" s="371"/>
      <c r="BG14" s="371"/>
      <c r="BH14" s="370"/>
      <c r="BI14" s="370"/>
      <c r="BJ14" s="371"/>
      <c r="BK14" s="371"/>
      <c r="BL14" s="370"/>
      <c r="BM14" s="370"/>
      <c r="BN14" s="371"/>
      <c r="BO14" s="371"/>
      <c r="BP14" s="370"/>
      <c r="BQ14" s="370"/>
      <c r="BR14" s="371"/>
      <c r="BS14" s="371"/>
      <c r="BT14" s="370"/>
      <c r="BU14" s="370"/>
      <c r="BV14" s="371"/>
      <c r="BW14" s="371"/>
      <c r="BX14" s="370"/>
      <c r="BY14" s="370"/>
      <c r="BZ14" s="371"/>
      <c r="CA14" s="371"/>
      <c r="CB14" s="370"/>
      <c r="CC14" s="370"/>
      <c r="CD14" s="371"/>
      <c r="CE14" s="371"/>
      <c r="CF14" s="370"/>
      <c r="CG14" s="370"/>
      <c r="CH14" s="371"/>
      <c r="CI14" s="371"/>
      <c r="CJ14" s="370"/>
      <c r="CK14" s="370"/>
      <c r="CL14" s="371"/>
      <c r="CM14" s="371"/>
      <c r="CN14" s="370"/>
      <c r="CO14" s="370"/>
      <c r="CP14" s="371"/>
      <c r="CQ14" s="371"/>
      <c r="CR14" s="370"/>
      <c r="CS14" s="370"/>
      <c r="CT14" s="371"/>
      <c r="CU14" s="371"/>
      <c r="CV14" s="370"/>
      <c r="CW14" s="370"/>
      <c r="CX14" s="371"/>
      <c r="CY14" s="371"/>
      <c r="CZ14" s="370"/>
      <c r="DA14" s="370"/>
      <c r="DB14" s="371"/>
      <c r="DC14" s="371"/>
      <c r="DD14" s="370"/>
      <c r="DE14" s="370"/>
      <c r="DF14" s="371"/>
      <c r="DG14" s="371"/>
      <c r="DH14" s="370"/>
      <c r="DI14" s="370"/>
      <c r="DJ14" s="371"/>
      <c r="DK14" s="371"/>
      <c r="DL14" s="370"/>
      <c r="DM14" s="370"/>
      <c r="DN14" s="371"/>
      <c r="DO14" s="371"/>
      <c r="DP14" s="370"/>
      <c r="DQ14" s="370"/>
      <c r="DR14" s="371"/>
      <c r="DS14" s="371"/>
      <c r="DT14" s="370"/>
      <c r="DU14" s="370"/>
      <c r="DV14" s="371"/>
      <c r="DW14" s="371"/>
      <c r="DX14" s="370"/>
      <c r="DY14" s="370"/>
      <c r="DZ14" s="371"/>
      <c r="EA14" s="371"/>
      <c r="EB14" s="370"/>
      <c r="EC14" s="370"/>
      <c r="ED14" s="371"/>
      <c r="EE14" s="371"/>
      <c r="EF14" s="370"/>
      <c r="EG14" s="370"/>
      <c r="EH14" s="371"/>
      <c r="EI14" s="371"/>
      <c r="EJ14" s="370"/>
      <c r="EK14" s="370"/>
      <c r="EL14" s="371"/>
      <c r="EM14" s="371"/>
      <c r="EN14" s="370"/>
      <c r="EO14" s="370"/>
      <c r="EP14" s="371"/>
      <c r="EQ14" s="371"/>
      <c r="ER14" s="370"/>
      <c r="ES14" s="370"/>
      <c r="ET14" s="371"/>
      <c r="EU14" s="371"/>
      <c r="EV14" s="370"/>
      <c r="EW14" s="370"/>
      <c r="EX14" s="371"/>
      <c r="EY14" s="371"/>
      <c r="EZ14" s="370"/>
      <c r="FA14" s="370"/>
      <c r="FB14" s="371"/>
      <c r="FC14" s="371"/>
      <c r="FD14" s="370"/>
      <c r="FE14" s="370"/>
      <c r="FF14" s="371"/>
      <c r="FG14" s="371"/>
      <c r="FH14" s="370"/>
      <c r="FI14" s="370"/>
      <c r="FJ14" s="371"/>
      <c r="FK14" s="371"/>
      <c r="FL14" s="370"/>
      <c r="FM14" s="370"/>
      <c r="FN14" s="371"/>
      <c r="FO14" s="371"/>
      <c r="FP14" s="370"/>
      <c r="FQ14" s="370"/>
      <c r="FR14" s="371"/>
      <c r="FS14" s="371"/>
      <c r="FT14" s="370"/>
      <c r="FU14" s="370"/>
      <c r="FV14" s="371"/>
      <c r="FW14" s="371"/>
      <c r="FX14" s="370"/>
      <c r="FY14" s="370"/>
      <c r="FZ14" s="371"/>
      <c r="GA14" s="371"/>
      <c r="GB14" s="370"/>
      <c r="GC14" s="370"/>
      <c r="GD14" s="371"/>
      <c r="GE14" s="371"/>
      <c r="GF14" s="370"/>
      <c r="GG14" s="370"/>
      <c r="GH14" s="371"/>
      <c r="GI14" s="371"/>
      <c r="GJ14" s="370"/>
      <c r="GK14" s="370"/>
      <c r="GL14" s="371"/>
      <c r="GM14" s="371"/>
      <c r="GN14" s="370"/>
      <c r="GO14" s="370"/>
      <c r="GP14" s="371"/>
      <c r="GQ14" s="371"/>
      <c r="GR14" s="370"/>
      <c r="GS14" s="370"/>
    </row>
    <row r="15">
      <c r="A15" s="365" t="s">
        <v>269</v>
      </c>
      <c r="B15" s="365"/>
      <c r="C15" s="365"/>
      <c r="D15" s="365"/>
      <c r="E15" s="365"/>
      <c r="F15" s="365"/>
      <c r="G15" s="365"/>
      <c r="H15" s="365"/>
      <c r="I15" s="365"/>
      <c r="J15" s="365"/>
      <c r="K15" s="365"/>
      <c r="L15" s="365"/>
      <c r="M15" s="365"/>
      <c r="N15" s="365"/>
      <c r="O15" s="365"/>
      <c r="P15" s="365"/>
      <c r="Q15" s="365"/>
      <c r="R15" s="365"/>
      <c r="S15" s="365"/>
      <c r="T15" s="365"/>
      <c r="U15" s="365"/>
      <c r="V15" s="365"/>
      <c r="W15" s="365"/>
      <c r="X15" s="365"/>
      <c r="Y15" s="365"/>
      <c r="Z15" s="365"/>
      <c r="AA15" s="365"/>
      <c r="AB15" s="365"/>
      <c r="AC15" s="365"/>
      <c r="AD15" s="365"/>
      <c r="AE15" s="365"/>
      <c r="AF15" s="365"/>
      <c r="AG15" s="365"/>
      <c r="AH15" s="365"/>
      <c r="AI15" s="365"/>
      <c r="AJ15" s="365"/>
      <c r="AK15" s="365"/>
      <c r="AL15" s="365"/>
      <c r="AM15" s="365"/>
      <c r="AN15" s="365"/>
      <c r="AO15" s="365"/>
      <c r="AP15" s="365"/>
      <c r="AQ15" s="365"/>
      <c r="AR15" s="365"/>
      <c r="AS15" s="365"/>
      <c r="AT15" s="365"/>
      <c r="AU15" s="365"/>
      <c r="AV15" s="365"/>
      <c r="AW15" s="365"/>
      <c r="AX15" s="365"/>
      <c r="AY15" s="365"/>
      <c r="AZ15" s="365"/>
      <c r="BA15" s="365"/>
      <c r="BB15" s="365"/>
      <c r="BC15" s="365"/>
      <c r="BD15" s="365"/>
      <c r="BE15" s="365"/>
      <c r="BF15" s="365"/>
      <c r="BG15" s="365"/>
      <c r="BH15" s="365"/>
      <c r="BI15" s="365"/>
      <c r="BJ15" s="365"/>
      <c r="BK15" s="365"/>
      <c r="BL15" s="365"/>
      <c r="BM15" s="365"/>
      <c r="BN15" s="365"/>
      <c r="BO15" s="365"/>
      <c r="BP15" s="365"/>
      <c r="BQ15" s="365"/>
      <c r="BR15" s="365"/>
      <c r="BS15" s="365"/>
      <c r="BT15" s="365"/>
      <c r="BU15" s="365"/>
      <c r="BV15" s="365"/>
      <c r="BW15" s="365"/>
      <c r="BX15" s="365"/>
      <c r="BY15" s="365"/>
      <c r="BZ15" s="365"/>
      <c r="CA15" s="365"/>
      <c r="CB15" s="365"/>
      <c r="CC15" s="365"/>
      <c r="CD15" s="365"/>
      <c r="CE15" s="365"/>
      <c r="CF15" s="365"/>
      <c r="CG15" s="365"/>
      <c r="CH15" s="365"/>
      <c r="CI15" s="365"/>
      <c r="CJ15" s="365"/>
      <c r="CK15" s="365"/>
      <c r="CL15" s="365"/>
      <c r="CM15" s="365"/>
      <c r="CN15" s="365"/>
      <c r="CO15" s="365"/>
      <c r="CP15" s="365"/>
      <c r="CQ15" s="365"/>
      <c r="CR15" s="365"/>
      <c r="CS15" s="365"/>
      <c r="CT15" s="365"/>
      <c r="CU15" s="365"/>
      <c r="CV15" s="365"/>
      <c r="CW15" s="365"/>
      <c r="CX15" s="365"/>
      <c r="CY15" s="365"/>
      <c r="CZ15" s="365"/>
      <c r="DA15" s="365"/>
      <c r="DB15" s="365"/>
      <c r="DC15" s="365"/>
      <c r="DD15" s="365"/>
      <c r="DE15" s="365"/>
      <c r="DF15" s="365"/>
      <c r="DG15" s="365"/>
      <c r="DH15" s="365"/>
      <c r="DI15" s="365"/>
      <c r="DJ15" s="365"/>
      <c r="DK15" s="365"/>
      <c r="DL15" s="365"/>
      <c r="DM15" s="365"/>
      <c r="DN15" s="365"/>
      <c r="DO15" s="365"/>
      <c r="DP15" s="365"/>
      <c r="DQ15" s="365"/>
      <c r="DR15" s="365"/>
      <c r="DS15" s="365"/>
      <c r="DT15" s="365"/>
      <c r="DU15" s="365"/>
      <c r="DV15" s="365"/>
      <c r="DW15" s="365"/>
      <c r="DX15" s="365"/>
      <c r="DY15" s="365"/>
      <c r="DZ15" s="365"/>
      <c r="EA15" s="365"/>
      <c r="EB15" s="365"/>
      <c r="EC15" s="365"/>
      <c r="ED15" s="365"/>
      <c r="EE15" s="365"/>
      <c r="EF15" s="365"/>
      <c r="EG15" s="365"/>
      <c r="EH15" s="365"/>
      <c r="EI15" s="365"/>
      <c r="EJ15" s="365"/>
      <c r="EK15" s="365"/>
      <c r="EL15" s="365"/>
      <c r="EM15" s="365"/>
      <c r="EN15" s="365"/>
      <c r="EO15" s="365"/>
      <c r="EP15" s="365"/>
      <c r="EQ15" s="365"/>
      <c r="ER15" s="365"/>
      <c r="ES15" s="365"/>
      <c r="ET15" s="365"/>
      <c r="EU15" s="365"/>
      <c r="EV15" s="365"/>
      <c r="EW15" s="365"/>
      <c r="EX15" s="365"/>
      <c r="EY15" s="365"/>
      <c r="EZ15" s="365"/>
      <c r="FA15" s="365"/>
      <c r="FB15" s="365"/>
      <c r="FC15" s="365"/>
      <c r="FD15" s="365"/>
      <c r="FE15" s="365"/>
      <c r="FF15" s="365"/>
      <c r="FG15" s="365"/>
      <c r="FH15" s="365"/>
      <c r="FI15" s="365"/>
      <c r="FJ15" s="365"/>
      <c r="FK15" s="365"/>
      <c r="FL15" s="365"/>
      <c r="FM15" s="365"/>
      <c r="FN15" s="365"/>
      <c r="FO15" s="365"/>
      <c r="FP15" s="365"/>
      <c r="FQ15" s="365"/>
      <c r="FR15" s="365"/>
      <c r="FS15" s="365"/>
      <c r="FT15" s="365"/>
      <c r="FU15" s="365"/>
      <c r="FV15" s="365"/>
      <c r="FW15" s="365"/>
      <c r="FX15" s="365"/>
      <c r="FY15" s="365"/>
      <c r="FZ15" s="365"/>
      <c r="GA15" s="365"/>
      <c r="GB15" s="365"/>
      <c r="GC15" s="365"/>
      <c r="GD15" s="365"/>
      <c r="GE15" s="365"/>
      <c r="GF15" s="365"/>
      <c r="GG15" s="365"/>
      <c r="GH15" s="365"/>
      <c r="GI15" s="365"/>
      <c r="GJ15" s="365"/>
      <c r="GK15" s="365"/>
      <c r="GL15" s="365"/>
      <c r="GM15" s="365"/>
      <c r="GN15" s="365"/>
      <c r="GO15" s="365"/>
      <c r="GP15" s="365"/>
      <c r="GQ15" s="365"/>
      <c r="GR15" s="365"/>
      <c r="GS15" s="365"/>
    </row>
    <row r="16">
      <c r="A16" s="380" t="s">
        <v>270</v>
      </c>
      <c r="B16" s="371"/>
      <c r="C16" s="371"/>
      <c r="D16" s="370"/>
      <c r="E16" s="370"/>
      <c r="F16" s="371"/>
      <c r="G16" s="371"/>
      <c r="H16" s="370"/>
      <c r="I16" s="370"/>
      <c r="J16" s="371"/>
      <c r="K16" s="371"/>
      <c r="L16" s="370"/>
      <c r="M16" s="370"/>
      <c r="N16" s="371"/>
      <c r="O16" s="371"/>
      <c r="P16" s="370"/>
      <c r="Q16" s="370"/>
      <c r="R16" s="371"/>
      <c r="S16" s="371"/>
      <c r="T16" s="370"/>
      <c r="U16" s="370"/>
      <c r="V16" s="371"/>
      <c r="W16" s="371"/>
      <c r="X16" s="370"/>
      <c r="Y16" s="370"/>
      <c r="Z16" s="371"/>
      <c r="AA16" s="371"/>
      <c r="AB16" s="370"/>
      <c r="AC16" s="370"/>
      <c r="AD16" s="371"/>
      <c r="AE16" s="371"/>
      <c r="AF16" s="370"/>
      <c r="AG16" s="370"/>
      <c r="AH16" s="371"/>
      <c r="AI16" s="371"/>
      <c r="AJ16" s="370"/>
      <c r="AK16" s="370"/>
      <c r="AL16" s="371"/>
      <c r="AM16" s="371"/>
      <c r="AN16" s="370"/>
      <c r="AO16" s="370"/>
      <c r="AP16" s="371"/>
      <c r="AQ16" s="371"/>
      <c r="AR16" s="370"/>
      <c r="AS16" s="370"/>
      <c r="AT16" s="371"/>
      <c r="AU16" s="371"/>
      <c r="AV16" s="370"/>
      <c r="AW16" s="370"/>
      <c r="AX16" s="371"/>
      <c r="AY16" s="371"/>
      <c r="AZ16" s="370"/>
      <c r="BA16" s="370"/>
      <c r="BB16" s="371"/>
      <c r="BC16" s="371"/>
      <c r="BD16" s="370"/>
      <c r="BE16" s="370"/>
      <c r="BF16" s="371"/>
      <c r="BG16" s="371"/>
      <c r="BH16" s="370"/>
      <c r="BI16" s="370"/>
      <c r="BJ16" s="371"/>
      <c r="BK16" s="371"/>
      <c r="BL16" s="370"/>
      <c r="BM16" s="370"/>
      <c r="BN16" s="371"/>
      <c r="BO16" s="371"/>
      <c r="BP16" s="370"/>
      <c r="BQ16" s="370"/>
      <c r="BR16" s="371"/>
      <c r="BS16" s="371"/>
      <c r="BT16" s="370"/>
      <c r="BU16" s="370"/>
      <c r="BV16" s="371"/>
      <c r="BW16" s="371"/>
      <c r="BX16" s="370"/>
      <c r="BY16" s="370"/>
      <c r="BZ16" s="371"/>
      <c r="CA16" s="371"/>
      <c r="CB16" s="370"/>
      <c r="CC16" s="370"/>
      <c r="CD16" s="371"/>
      <c r="CE16" s="371"/>
      <c r="CF16" s="370"/>
      <c r="CG16" s="370"/>
      <c r="CH16" s="371"/>
      <c r="CI16" s="371"/>
      <c r="CJ16" s="370"/>
      <c r="CK16" s="370"/>
      <c r="CL16" s="371"/>
      <c r="CM16" s="371"/>
      <c r="CN16" s="370"/>
      <c r="CO16" s="370"/>
      <c r="CP16" s="371"/>
      <c r="CQ16" s="371"/>
      <c r="CR16" s="370"/>
      <c r="CS16" s="370"/>
      <c r="CT16" s="371"/>
      <c r="CU16" s="371"/>
      <c r="CV16" s="370"/>
      <c r="CW16" s="370"/>
      <c r="CX16" s="371"/>
      <c r="CY16" s="371"/>
      <c r="CZ16" s="370"/>
      <c r="DA16" s="370"/>
      <c r="DB16" s="371"/>
      <c r="DC16" s="371"/>
      <c r="DD16" s="370"/>
      <c r="DE16" s="370"/>
      <c r="DF16" s="371"/>
      <c r="DG16" s="371"/>
      <c r="DH16" s="370"/>
      <c r="DI16" s="370"/>
      <c r="DJ16" s="371"/>
      <c r="DK16" s="371"/>
      <c r="DL16" s="370"/>
      <c r="DM16" s="370"/>
      <c r="DN16" s="371"/>
      <c r="DO16" s="371"/>
      <c r="DP16" s="370"/>
      <c r="DQ16" s="370"/>
      <c r="DR16" s="371"/>
      <c r="DS16" s="371"/>
      <c r="DT16" s="370"/>
      <c r="DU16" s="370"/>
      <c r="DV16" s="371"/>
      <c r="DW16" s="371"/>
      <c r="DX16" s="370"/>
      <c r="DY16" s="370"/>
      <c r="DZ16" s="371"/>
      <c r="EA16" s="371"/>
      <c r="EB16" s="370"/>
      <c r="EC16" s="370"/>
      <c r="ED16" s="371"/>
      <c r="EE16" s="371"/>
      <c r="EF16" s="370"/>
      <c r="EG16" s="370"/>
      <c r="EH16" s="371"/>
      <c r="EI16" s="371"/>
      <c r="EJ16" s="370"/>
      <c r="EK16" s="370"/>
      <c r="EL16" s="371"/>
      <c r="EM16" s="371"/>
      <c r="EN16" s="370"/>
      <c r="EO16" s="370"/>
      <c r="EP16" s="371"/>
      <c r="EQ16" s="371"/>
      <c r="ER16" s="370"/>
      <c r="ES16" s="370"/>
      <c r="ET16" s="371"/>
      <c r="EU16" s="371"/>
      <c r="EV16" s="370"/>
      <c r="EW16" s="370"/>
      <c r="EX16" s="371"/>
      <c r="EY16" s="371"/>
      <c r="EZ16" s="370"/>
      <c r="FA16" s="370"/>
      <c r="FB16" s="371"/>
      <c r="FC16" s="371"/>
      <c r="FD16" s="370"/>
      <c r="FE16" s="370"/>
      <c r="FF16" s="371"/>
      <c r="FG16" s="371"/>
      <c r="FH16" s="370"/>
      <c r="FI16" s="370"/>
      <c r="FJ16" s="371"/>
      <c r="FK16" s="371"/>
      <c r="FL16" s="370"/>
      <c r="FM16" s="370"/>
      <c r="FN16" s="371"/>
      <c r="FO16" s="371"/>
      <c r="FP16" s="370"/>
      <c r="FQ16" s="370"/>
      <c r="FR16" s="371"/>
      <c r="FS16" s="371"/>
      <c r="FT16" s="370"/>
      <c r="FU16" s="370"/>
      <c r="FV16" s="371"/>
      <c r="FW16" s="371"/>
      <c r="FX16" s="370"/>
      <c r="FY16" s="370"/>
      <c r="FZ16" s="371"/>
      <c r="GA16" s="371"/>
      <c r="GB16" s="370"/>
      <c r="GC16" s="370"/>
      <c r="GD16" s="371"/>
      <c r="GE16" s="371"/>
      <c r="GF16" s="370"/>
      <c r="GG16" s="370"/>
      <c r="GH16" s="371"/>
      <c r="GI16" s="371"/>
      <c r="GJ16" s="370"/>
      <c r="GK16" s="370"/>
      <c r="GL16" s="371"/>
      <c r="GM16" s="371"/>
      <c r="GN16" s="370"/>
      <c r="GO16" s="370"/>
      <c r="GP16" s="371"/>
      <c r="GQ16" s="371"/>
      <c r="GR16" s="370"/>
      <c r="GS16" s="370"/>
    </row>
    <row r="17">
      <c r="A17" s="380" t="s">
        <v>271</v>
      </c>
      <c r="B17" s="371"/>
      <c r="C17" s="371"/>
      <c r="D17" s="370"/>
      <c r="E17" s="370"/>
      <c r="F17" s="371"/>
      <c r="G17" s="371"/>
      <c r="H17" s="370"/>
      <c r="I17" s="370"/>
      <c r="J17" s="371"/>
      <c r="K17" s="371"/>
      <c r="L17" s="370"/>
      <c r="M17" s="370"/>
      <c r="N17" s="371"/>
      <c r="O17" s="371"/>
      <c r="P17" s="370"/>
      <c r="Q17" s="370"/>
      <c r="R17" s="371"/>
      <c r="S17" s="371"/>
      <c r="T17" s="370"/>
      <c r="U17" s="370"/>
      <c r="V17" s="371"/>
      <c r="W17" s="371"/>
      <c r="X17" s="370"/>
      <c r="Y17" s="370"/>
      <c r="Z17" s="371"/>
      <c r="AA17" s="371"/>
      <c r="AB17" s="370"/>
      <c r="AC17" s="370"/>
      <c r="AD17" s="371"/>
      <c r="AE17" s="371"/>
      <c r="AF17" s="370"/>
      <c r="AG17" s="370"/>
      <c r="AH17" s="371"/>
      <c r="AI17" s="371"/>
      <c r="AJ17" s="370"/>
      <c r="AK17" s="370"/>
      <c r="AL17" s="371"/>
      <c r="AM17" s="371"/>
      <c r="AN17" s="370"/>
      <c r="AO17" s="370"/>
      <c r="AP17" s="371"/>
      <c r="AQ17" s="371"/>
      <c r="AR17" s="370"/>
      <c r="AS17" s="370"/>
      <c r="AT17" s="371"/>
      <c r="AU17" s="371"/>
      <c r="AV17" s="370"/>
      <c r="AW17" s="370"/>
      <c r="AX17" s="371"/>
      <c r="AY17" s="371"/>
      <c r="AZ17" s="370"/>
      <c r="BA17" s="370"/>
      <c r="BB17" s="371"/>
      <c r="BC17" s="371"/>
      <c r="BD17" s="370"/>
      <c r="BE17" s="370"/>
      <c r="BF17" s="371"/>
      <c r="BG17" s="371"/>
      <c r="BH17" s="370"/>
      <c r="BI17" s="370"/>
      <c r="BJ17" s="371"/>
      <c r="BK17" s="371"/>
      <c r="BL17" s="370"/>
      <c r="BM17" s="370"/>
      <c r="BN17" s="371"/>
      <c r="BO17" s="371"/>
      <c r="BP17" s="370"/>
      <c r="BQ17" s="370"/>
      <c r="BR17" s="371"/>
      <c r="BS17" s="371"/>
      <c r="BT17" s="370"/>
      <c r="BU17" s="370"/>
      <c r="BV17" s="371"/>
      <c r="BW17" s="371"/>
      <c r="BX17" s="370"/>
      <c r="BY17" s="370"/>
      <c r="BZ17" s="371"/>
      <c r="CA17" s="371"/>
      <c r="CB17" s="370"/>
      <c r="CC17" s="370"/>
      <c r="CD17" s="371"/>
      <c r="CE17" s="371"/>
      <c r="CF17" s="370"/>
      <c r="CG17" s="370"/>
      <c r="CH17" s="371"/>
      <c r="CI17" s="371"/>
      <c r="CJ17" s="370"/>
      <c r="CK17" s="370"/>
      <c r="CL17" s="371"/>
      <c r="CM17" s="371"/>
      <c r="CN17" s="370"/>
      <c r="CO17" s="370"/>
      <c r="CP17" s="371"/>
      <c r="CQ17" s="371"/>
      <c r="CR17" s="370"/>
      <c r="CS17" s="370"/>
      <c r="CT17" s="371"/>
      <c r="CU17" s="371"/>
      <c r="CV17" s="370"/>
      <c r="CW17" s="370"/>
      <c r="CX17" s="371"/>
      <c r="CY17" s="371"/>
      <c r="CZ17" s="370"/>
      <c r="DA17" s="370"/>
      <c r="DB17" s="371"/>
      <c r="DC17" s="371"/>
      <c r="DD17" s="370"/>
      <c r="DE17" s="370"/>
      <c r="DF17" s="371"/>
      <c r="DG17" s="371"/>
      <c r="DH17" s="370"/>
      <c r="DI17" s="370"/>
      <c r="DJ17" s="371"/>
      <c r="DK17" s="371"/>
      <c r="DL17" s="370"/>
      <c r="DM17" s="370"/>
      <c r="DN17" s="371"/>
      <c r="DO17" s="371"/>
      <c r="DP17" s="370"/>
      <c r="DQ17" s="370"/>
      <c r="DR17" s="371"/>
      <c r="DS17" s="371"/>
      <c r="DT17" s="370"/>
      <c r="DU17" s="370"/>
      <c r="DV17" s="371"/>
      <c r="DW17" s="371"/>
      <c r="DX17" s="370"/>
      <c r="DY17" s="370"/>
      <c r="DZ17" s="371"/>
      <c r="EA17" s="371"/>
      <c r="EB17" s="370"/>
      <c r="EC17" s="370"/>
      <c r="ED17" s="371"/>
      <c r="EE17" s="371"/>
      <c r="EF17" s="370"/>
      <c r="EG17" s="370"/>
      <c r="EH17" s="371"/>
      <c r="EI17" s="371"/>
      <c r="EJ17" s="370"/>
      <c r="EK17" s="370"/>
      <c r="EL17" s="371"/>
      <c r="EM17" s="371"/>
      <c r="EN17" s="370"/>
      <c r="EO17" s="370"/>
      <c r="EP17" s="371"/>
      <c r="EQ17" s="371"/>
      <c r="ER17" s="370"/>
      <c r="ES17" s="370"/>
      <c r="ET17" s="371"/>
      <c r="EU17" s="371"/>
      <c r="EV17" s="370"/>
      <c r="EW17" s="370"/>
      <c r="EX17" s="371"/>
      <c r="EY17" s="371"/>
      <c r="EZ17" s="370"/>
      <c r="FA17" s="370"/>
      <c r="FB17" s="371"/>
      <c r="FC17" s="371"/>
      <c r="FD17" s="370"/>
      <c r="FE17" s="370"/>
      <c r="FF17" s="371"/>
      <c r="FG17" s="371"/>
      <c r="FH17" s="370"/>
      <c r="FI17" s="370"/>
      <c r="FJ17" s="371"/>
      <c r="FK17" s="371"/>
      <c r="FL17" s="370"/>
      <c r="FM17" s="370"/>
      <c r="FN17" s="371"/>
      <c r="FO17" s="371"/>
      <c r="FP17" s="370"/>
      <c r="FQ17" s="370"/>
      <c r="FR17" s="371"/>
      <c r="FS17" s="371"/>
      <c r="FT17" s="370"/>
      <c r="FU17" s="370"/>
      <c r="FV17" s="371"/>
      <c r="FW17" s="371"/>
      <c r="FX17" s="370"/>
      <c r="FY17" s="370"/>
      <c r="FZ17" s="371"/>
      <c r="GA17" s="371"/>
      <c r="GB17" s="370"/>
      <c r="GC17" s="370"/>
      <c r="GD17" s="371"/>
      <c r="GE17" s="371"/>
      <c r="GF17" s="370"/>
      <c r="GG17" s="370"/>
      <c r="GH17" s="371"/>
      <c r="GI17" s="371"/>
      <c r="GJ17" s="370"/>
      <c r="GK17" s="370"/>
      <c r="GL17" s="371"/>
      <c r="GM17" s="371"/>
      <c r="GN17" s="370"/>
      <c r="GO17" s="370"/>
      <c r="GP17" s="371"/>
      <c r="GQ17" s="371"/>
      <c r="GR17" s="370"/>
      <c r="GS17" s="370"/>
    </row>
    <row r="18">
      <c r="A18" s="380" t="s">
        <v>272</v>
      </c>
      <c r="B18" s="371"/>
      <c r="C18" s="371"/>
      <c r="D18" s="370"/>
      <c r="E18" s="370"/>
      <c r="F18" s="371"/>
      <c r="G18" s="371"/>
      <c r="H18" s="370"/>
      <c r="I18" s="370"/>
      <c r="J18" s="371"/>
      <c r="K18" s="371"/>
      <c r="L18" s="370"/>
      <c r="M18" s="370"/>
      <c r="N18" s="371"/>
      <c r="O18" s="371"/>
      <c r="P18" s="370"/>
      <c r="Q18" s="370"/>
      <c r="R18" s="371"/>
      <c r="S18" s="371"/>
      <c r="T18" s="370"/>
      <c r="U18" s="370"/>
      <c r="V18" s="371"/>
      <c r="W18" s="371"/>
      <c r="X18" s="370"/>
      <c r="Y18" s="370"/>
      <c r="Z18" s="371"/>
      <c r="AA18" s="371"/>
      <c r="AB18" s="370"/>
      <c r="AC18" s="370"/>
      <c r="AD18" s="371"/>
      <c r="AE18" s="371"/>
      <c r="AF18" s="370"/>
      <c r="AG18" s="370"/>
      <c r="AH18" s="371"/>
      <c r="AI18" s="371"/>
      <c r="AJ18" s="370"/>
      <c r="AK18" s="370"/>
      <c r="AL18" s="371"/>
      <c r="AM18" s="371"/>
      <c r="AN18" s="370"/>
      <c r="AO18" s="370"/>
      <c r="AP18" s="371"/>
      <c r="AQ18" s="371"/>
      <c r="AR18" s="370"/>
      <c r="AS18" s="370"/>
      <c r="AT18" s="371"/>
      <c r="AU18" s="371"/>
      <c r="AV18" s="370"/>
      <c r="AW18" s="370"/>
      <c r="AX18" s="371"/>
      <c r="AY18" s="371"/>
      <c r="AZ18" s="370"/>
      <c r="BA18" s="370"/>
      <c r="BB18" s="371"/>
      <c r="BC18" s="371"/>
      <c r="BD18" s="370"/>
      <c r="BE18" s="370"/>
      <c r="BF18" s="371"/>
      <c r="BG18" s="371"/>
      <c r="BH18" s="370"/>
      <c r="BI18" s="370"/>
      <c r="BJ18" s="371"/>
      <c r="BK18" s="371"/>
      <c r="BL18" s="370"/>
      <c r="BM18" s="370"/>
      <c r="BN18" s="371"/>
      <c r="BO18" s="371"/>
      <c r="BP18" s="370"/>
      <c r="BQ18" s="370"/>
      <c r="BR18" s="371"/>
      <c r="BS18" s="371"/>
      <c r="BT18" s="370"/>
      <c r="BU18" s="370"/>
      <c r="BV18" s="371"/>
      <c r="BW18" s="371"/>
      <c r="BX18" s="370"/>
      <c r="BY18" s="370"/>
      <c r="BZ18" s="371"/>
      <c r="CA18" s="371"/>
      <c r="CB18" s="370"/>
      <c r="CC18" s="370"/>
      <c r="CD18" s="371"/>
      <c r="CE18" s="371"/>
      <c r="CF18" s="370"/>
      <c r="CG18" s="370"/>
      <c r="CH18" s="371"/>
      <c r="CI18" s="371"/>
      <c r="CJ18" s="370"/>
      <c r="CK18" s="370"/>
      <c r="CL18" s="371"/>
      <c r="CM18" s="371"/>
      <c r="CN18" s="370"/>
      <c r="CO18" s="370"/>
      <c r="CP18" s="371"/>
      <c r="CQ18" s="371"/>
      <c r="CR18" s="370"/>
      <c r="CS18" s="370"/>
      <c r="CT18" s="371"/>
      <c r="CU18" s="371"/>
      <c r="CV18" s="370"/>
      <c r="CW18" s="370"/>
      <c r="CX18" s="371"/>
      <c r="CY18" s="371"/>
      <c r="CZ18" s="370"/>
      <c r="DA18" s="370"/>
      <c r="DB18" s="371"/>
      <c r="DC18" s="371"/>
      <c r="DD18" s="370"/>
      <c r="DE18" s="370"/>
      <c r="DF18" s="371"/>
      <c r="DG18" s="371"/>
      <c r="DH18" s="370"/>
      <c r="DI18" s="370"/>
      <c r="DJ18" s="371"/>
      <c r="DK18" s="371"/>
      <c r="DL18" s="370"/>
      <c r="DM18" s="370"/>
      <c r="DN18" s="371"/>
      <c r="DO18" s="371"/>
      <c r="DP18" s="370"/>
      <c r="DQ18" s="370"/>
      <c r="DR18" s="371"/>
      <c r="DS18" s="371"/>
      <c r="DT18" s="370"/>
      <c r="DU18" s="370"/>
      <c r="DV18" s="371"/>
      <c r="DW18" s="371"/>
      <c r="DX18" s="370"/>
      <c r="DY18" s="370"/>
      <c r="DZ18" s="371"/>
      <c r="EA18" s="371"/>
      <c r="EB18" s="370"/>
      <c r="EC18" s="370"/>
      <c r="ED18" s="371"/>
      <c r="EE18" s="371"/>
      <c r="EF18" s="370"/>
      <c r="EG18" s="370"/>
      <c r="EH18" s="371"/>
      <c r="EI18" s="371"/>
      <c r="EJ18" s="370"/>
      <c r="EK18" s="370"/>
      <c r="EL18" s="371"/>
      <c r="EM18" s="371"/>
      <c r="EN18" s="370"/>
      <c r="EO18" s="370"/>
      <c r="EP18" s="371"/>
      <c r="EQ18" s="371"/>
      <c r="ER18" s="370"/>
      <c r="ES18" s="370"/>
      <c r="ET18" s="371"/>
      <c r="EU18" s="371"/>
      <c r="EV18" s="370"/>
      <c r="EW18" s="370"/>
      <c r="EX18" s="371"/>
      <c r="EY18" s="371"/>
      <c r="EZ18" s="370"/>
      <c r="FA18" s="370"/>
      <c r="FB18" s="371"/>
      <c r="FC18" s="371"/>
      <c r="FD18" s="370"/>
      <c r="FE18" s="370"/>
      <c r="FF18" s="371"/>
      <c r="FG18" s="371"/>
      <c r="FH18" s="370"/>
      <c r="FI18" s="370"/>
      <c r="FJ18" s="371"/>
      <c r="FK18" s="371"/>
      <c r="FL18" s="370"/>
      <c r="FM18" s="370"/>
      <c r="FN18" s="371"/>
      <c r="FO18" s="371"/>
      <c r="FP18" s="370"/>
      <c r="FQ18" s="370"/>
      <c r="FR18" s="371"/>
      <c r="FS18" s="371"/>
      <c r="FT18" s="370"/>
      <c r="FU18" s="370"/>
      <c r="FV18" s="371"/>
      <c r="FW18" s="371"/>
      <c r="FX18" s="370"/>
      <c r="FY18" s="370"/>
      <c r="FZ18" s="371"/>
      <c r="GA18" s="371"/>
      <c r="GB18" s="370"/>
      <c r="GC18" s="370"/>
      <c r="GD18" s="371"/>
      <c r="GE18" s="371"/>
      <c r="GF18" s="370"/>
      <c r="GG18" s="370"/>
      <c r="GH18" s="371"/>
      <c r="GI18" s="371"/>
      <c r="GJ18" s="370"/>
      <c r="GK18" s="370"/>
      <c r="GL18" s="371"/>
      <c r="GM18" s="371"/>
      <c r="GN18" s="370"/>
      <c r="GO18" s="370"/>
      <c r="GP18" s="371"/>
      <c r="GQ18" s="371"/>
      <c r="GR18" s="370"/>
      <c r="GS18" s="370"/>
    </row>
    <row r="19">
      <c r="A19" s="380" t="s">
        <v>273</v>
      </c>
      <c r="B19" s="371"/>
      <c r="C19" s="371"/>
      <c r="D19" s="370"/>
      <c r="E19" s="370"/>
      <c r="F19" s="371"/>
      <c r="G19" s="371"/>
      <c r="H19" s="370"/>
      <c r="I19" s="370"/>
      <c r="J19" s="371"/>
      <c r="K19" s="371"/>
      <c r="L19" s="370"/>
      <c r="M19" s="370"/>
      <c r="N19" s="371"/>
      <c r="O19" s="371"/>
      <c r="P19" s="370"/>
      <c r="Q19" s="370"/>
      <c r="R19" s="371"/>
      <c r="S19" s="371"/>
      <c r="T19" s="370"/>
      <c r="U19" s="370"/>
      <c r="V19" s="371"/>
      <c r="W19" s="371"/>
      <c r="X19" s="370"/>
      <c r="Y19" s="370"/>
      <c r="Z19" s="371"/>
      <c r="AA19" s="371"/>
      <c r="AB19" s="370"/>
      <c r="AC19" s="370"/>
      <c r="AD19" s="371"/>
      <c r="AE19" s="371"/>
      <c r="AF19" s="370"/>
      <c r="AG19" s="370"/>
      <c r="AH19" s="371"/>
      <c r="AI19" s="371"/>
      <c r="AJ19" s="370"/>
      <c r="AK19" s="370"/>
      <c r="AL19" s="371"/>
      <c r="AM19" s="371"/>
      <c r="AN19" s="370"/>
      <c r="AO19" s="370"/>
      <c r="AP19" s="371"/>
      <c r="AQ19" s="371"/>
      <c r="AR19" s="370"/>
      <c r="AS19" s="370"/>
      <c r="AT19" s="371"/>
      <c r="AU19" s="371"/>
      <c r="AV19" s="370"/>
      <c r="AW19" s="370"/>
      <c r="AX19" s="371"/>
      <c r="AY19" s="371"/>
      <c r="AZ19" s="370"/>
      <c r="BA19" s="370"/>
      <c r="BB19" s="371"/>
      <c r="BC19" s="371"/>
      <c r="BD19" s="370"/>
      <c r="BE19" s="370"/>
      <c r="BF19" s="371"/>
      <c r="BG19" s="371"/>
      <c r="BH19" s="370"/>
      <c r="BI19" s="370"/>
      <c r="BJ19" s="371"/>
      <c r="BK19" s="371"/>
      <c r="BL19" s="370"/>
      <c r="BM19" s="370"/>
      <c r="BN19" s="371"/>
      <c r="BO19" s="371"/>
      <c r="BP19" s="370"/>
      <c r="BQ19" s="370"/>
      <c r="BR19" s="371"/>
      <c r="BS19" s="371"/>
      <c r="BT19" s="370"/>
      <c r="BU19" s="370"/>
      <c r="BV19" s="371"/>
      <c r="BW19" s="371"/>
      <c r="BX19" s="370"/>
      <c r="BY19" s="370"/>
      <c r="BZ19" s="371"/>
      <c r="CA19" s="371"/>
      <c r="CB19" s="370"/>
      <c r="CC19" s="370"/>
      <c r="CD19" s="371"/>
      <c r="CE19" s="371"/>
      <c r="CF19" s="370"/>
      <c r="CG19" s="370"/>
      <c r="CH19" s="371"/>
      <c r="CI19" s="371"/>
      <c r="CJ19" s="370"/>
      <c r="CK19" s="370"/>
      <c r="CL19" s="371"/>
      <c r="CM19" s="371"/>
      <c r="CN19" s="370"/>
      <c r="CO19" s="370"/>
      <c r="CP19" s="371"/>
      <c r="CQ19" s="371"/>
      <c r="CR19" s="370"/>
      <c r="CS19" s="370"/>
      <c r="CT19" s="371"/>
      <c r="CU19" s="371"/>
      <c r="CV19" s="370"/>
      <c r="CW19" s="370"/>
      <c r="CX19" s="371"/>
      <c r="CY19" s="371"/>
      <c r="CZ19" s="370"/>
      <c r="DA19" s="370"/>
      <c r="DB19" s="371"/>
      <c r="DC19" s="371"/>
      <c r="DD19" s="370"/>
      <c r="DE19" s="370"/>
      <c r="DF19" s="371"/>
      <c r="DG19" s="371"/>
      <c r="DH19" s="370"/>
      <c r="DI19" s="370"/>
      <c r="DJ19" s="371"/>
      <c r="DK19" s="371"/>
      <c r="DL19" s="370"/>
      <c r="DM19" s="370"/>
      <c r="DN19" s="371"/>
      <c r="DO19" s="371"/>
      <c r="DP19" s="370"/>
      <c r="DQ19" s="370"/>
      <c r="DR19" s="371"/>
      <c r="DS19" s="371"/>
      <c r="DT19" s="370"/>
      <c r="DU19" s="370"/>
      <c r="DV19" s="371"/>
      <c r="DW19" s="371"/>
      <c r="DX19" s="370"/>
      <c r="DY19" s="370"/>
      <c r="DZ19" s="371"/>
      <c r="EA19" s="371"/>
      <c r="EB19" s="370"/>
      <c r="EC19" s="370"/>
      <c r="ED19" s="371"/>
      <c r="EE19" s="371"/>
      <c r="EF19" s="370"/>
      <c r="EG19" s="370"/>
      <c r="EH19" s="371"/>
      <c r="EI19" s="371"/>
      <c r="EJ19" s="370"/>
      <c r="EK19" s="370"/>
      <c r="EL19" s="371"/>
      <c r="EM19" s="371"/>
      <c r="EN19" s="370"/>
      <c r="EO19" s="370"/>
      <c r="EP19" s="371"/>
      <c r="EQ19" s="371"/>
      <c r="ER19" s="370"/>
      <c r="ES19" s="370"/>
      <c r="ET19" s="371"/>
      <c r="EU19" s="371"/>
      <c r="EV19" s="370"/>
      <c r="EW19" s="370"/>
      <c r="EX19" s="371"/>
      <c r="EY19" s="371"/>
      <c r="EZ19" s="370"/>
      <c r="FA19" s="370"/>
      <c r="FB19" s="371"/>
      <c r="FC19" s="371"/>
      <c r="FD19" s="370"/>
      <c r="FE19" s="370"/>
      <c r="FF19" s="371"/>
      <c r="FG19" s="371"/>
      <c r="FH19" s="370"/>
      <c r="FI19" s="370"/>
      <c r="FJ19" s="371"/>
      <c r="FK19" s="371"/>
      <c r="FL19" s="370"/>
      <c r="FM19" s="370"/>
      <c r="FN19" s="371"/>
      <c r="FO19" s="371"/>
      <c r="FP19" s="370"/>
      <c r="FQ19" s="370"/>
      <c r="FR19" s="371"/>
      <c r="FS19" s="371"/>
      <c r="FT19" s="370"/>
      <c r="FU19" s="370"/>
      <c r="FV19" s="371"/>
      <c r="FW19" s="371"/>
      <c r="FX19" s="370"/>
      <c r="FY19" s="370"/>
      <c r="FZ19" s="371"/>
      <c r="GA19" s="371"/>
      <c r="GB19" s="370"/>
      <c r="GC19" s="370"/>
      <c r="GD19" s="371"/>
      <c r="GE19" s="371"/>
      <c r="GF19" s="370"/>
      <c r="GG19" s="370"/>
      <c r="GH19" s="371"/>
      <c r="GI19" s="371"/>
      <c r="GJ19" s="370"/>
      <c r="GK19" s="370"/>
      <c r="GL19" s="371"/>
      <c r="GM19" s="371"/>
      <c r="GN19" s="370"/>
      <c r="GO19" s="370"/>
      <c r="GP19" s="371"/>
      <c r="GQ19" s="371"/>
      <c r="GR19" s="370"/>
      <c r="GS19" s="370"/>
    </row>
    <row r="20">
      <c r="A20" s="375"/>
      <c r="B20" s="376"/>
      <c r="C20" s="376"/>
      <c r="D20" s="376"/>
      <c r="E20" s="376"/>
      <c r="F20" s="376"/>
      <c r="G20" s="376"/>
      <c r="H20" s="376"/>
      <c r="I20" s="376"/>
      <c r="J20" s="376"/>
      <c r="K20" s="376"/>
      <c r="L20" s="376"/>
      <c r="M20" s="376"/>
      <c r="N20" s="376"/>
      <c r="O20" s="376"/>
      <c r="P20" s="376"/>
      <c r="Q20" s="376"/>
      <c r="R20" s="376"/>
      <c r="S20" s="376"/>
      <c r="T20" s="376"/>
      <c r="U20" s="376"/>
      <c r="V20" s="376"/>
      <c r="W20" s="376"/>
      <c r="X20" s="376"/>
      <c r="Y20" s="376"/>
      <c r="Z20" s="376"/>
      <c r="AA20" s="376"/>
      <c r="AB20" s="376"/>
      <c r="AC20" s="376"/>
      <c r="AD20" s="376"/>
      <c r="AE20" s="376"/>
      <c r="AF20" s="376"/>
      <c r="AG20" s="376"/>
      <c r="AH20" s="376"/>
      <c r="AI20" s="376"/>
      <c r="AJ20" s="376"/>
      <c r="AK20" s="376"/>
      <c r="AL20" s="376"/>
      <c r="AM20" s="376"/>
      <c r="AN20" s="376"/>
      <c r="AO20" s="376"/>
      <c r="AP20" s="376"/>
      <c r="AQ20" s="376"/>
      <c r="AR20" s="376"/>
      <c r="AS20" s="376"/>
      <c r="AT20" s="376"/>
      <c r="AU20" s="376"/>
      <c r="AV20" s="376"/>
      <c r="AW20" s="376"/>
      <c r="AX20" s="376"/>
      <c r="AY20" s="376"/>
      <c r="AZ20" s="376"/>
      <c r="BA20" s="376"/>
      <c r="BB20" s="376"/>
      <c r="BC20" s="376"/>
      <c r="BD20" s="376"/>
      <c r="BE20" s="376"/>
      <c r="BF20" s="376"/>
      <c r="BG20" s="376"/>
      <c r="BH20" s="376"/>
      <c r="BI20" s="376"/>
      <c r="BJ20" s="376"/>
      <c r="BK20" s="376"/>
      <c r="BL20" s="376"/>
      <c r="BM20" s="376"/>
      <c r="BN20" s="376"/>
      <c r="BO20" s="376"/>
      <c r="BP20" s="376"/>
      <c r="BQ20" s="376"/>
      <c r="BR20" s="376"/>
      <c r="BS20" s="376"/>
      <c r="BT20" s="376"/>
      <c r="BU20" s="376"/>
      <c r="BV20" s="376"/>
      <c r="BW20" s="376"/>
      <c r="BX20" s="376"/>
      <c r="BY20" s="376"/>
      <c r="BZ20" s="376"/>
      <c r="CA20" s="376"/>
      <c r="CB20" s="376"/>
      <c r="CC20" s="376"/>
      <c r="CD20" s="376"/>
      <c r="CE20" s="376"/>
      <c r="CF20" s="376"/>
      <c r="CG20" s="376"/>
      <c r="CH20" s="376"/>
      <c r="CI20" s="376"/>
      <c r="CJ20" s="376"/>
      <c r="CK20" s="376"/>
      <c r="CL20" s="376"/>
      <c r="CM20" s="376"/>
      <c r="CN20" s="376"/>
      <c r="CO20" s="376"/>
      <c r="CP20" s="376"/>
      <c r="CQ20" s="376"/>
      <c r="CR20" s="376"/>
      <c r="CS20" s="376"/>
      <c r="CT20" s="376"/>
      <c r="CU20" s="376"/>
      <c r="CV20" s="376"/>
      <c r="CW20" s="376"/>
      <c r="CX20" s="376"/>
      <c r="CY20" s="376"/>
      <c r="CZ20" s="376"/>
      <c r="DA20" s="376"/>
      <c r="DB20" s="376"/>
      <c r="DC20" s="376"/>
      <c r="DD20" s="376"/>
      <c r="DE20" s="376"/>
      <c r="DF20" s="376"/>
      <c r="DG20" s="376"/>
      <c r="DH20" s="376"/>
      <c r="DI20" s="376"/>
      <c r="DJ20" s="376"/>
      <c r="DK20" s="376"/>
      <c r="DL20" s="376"/>
      <c r="DM20" s="376"/>
      <c r="DN20" s="376"/>
      <c r="DO20" s="376"/>
      <c r="DP20" s="376"/>
      <c r="DQ20" s="376"/>
      <c r="DR20" s="376"/>
      <c r="DS20" s="376"/>
      <c r="DT20" s="376"/>
      <c r="DU20" s="376"/>
      <c r="DV20" s="376"/>
      <c r="DW20" s="376"/>
      <c r="DX20" s="376"/>
      <c r="DY20" s="376"/>
      <c r="DZ20" s="376"/>
      <c r="EA20" s="376"/>
      <c r="EB20" s="376"/>
      <c r="EC20" s="376"/>
      <c r="ED20" s="376"/>
      <c r="EE20" s="376"/>
      <c r="EF20" s="376"/>
      <c r="EG20" s="376"/>
      <c r="EH20" s="376"/>
      <c r="EI20" s="376"/>
      <c r="EJ20" s="376"/>
      <c r="EK20" s="376"/>
      <c r="EL20" s="376"/>
      <c r="EM20" s="376"/>
      <c r="EN20" s="376"/>
      <c r="EO20" s="376"/>
      <c r="EP20" s="376"/>
      <c r="EQ20" s="376"/>
      <c r="ER20" s="376"/>
      <c r="ES20" s="376"/>
      <c r="ET20" s="376"/>
      <c r="EU20" s="376"/>
      <c r="EV20" s="376"/>
      <c r="EW20" s="376"/>
      <c r="EX20" s="376"/>
      <c r="EY20" s="376"/>
      <c r="EZ20" s="376"/>
      <c r="FA20" s="376"/>
      <c r="FB20" s="376"/>
      <c r="FC20" s="376"/>
      <c r="FD20" s="376"/>
      <c r="FE20" s="376"/>
      <c r="FF20" s="376"/>
      <c r="FG20" s="376"/>
      <c r="FH20" s="376"/>
      <c r="FI20" s="376"/>
      <c r="FJ20" s="376"/>
      <c r="FK20" s="376"/>
      <c r="FL20" s="376"/>
      <c r="FM20" s="376"/>
      <c r="FN20" s="376"/>
      <c r="FO20" s="376"/>
      <c r="FP20" s="376"/>
      <c r="FQ20" s="376"/>
      <c r="FR20" s="376"/>
      <c r="FS20" s="376"/>
      <c r="FT20" s="376"/>
      <c r="FU20" s="376"/>
      <c r="FV20" s="376"/>
      <c r="FW20" s="376"/>
      <c r="FX20" s="376"/>
      <c r="FY20" s="376"/>
      <c r="FZ20" s="376"/>
      <c r="GA20" s="376"/>
      <c r="GB20" s="376"/>
      <c r="GC20" s="376"/>
      <c r="GD20" s="376"/>
      <c r="GE20" s="376"/>
      <c r="GF20" s="376"/>
      <c r="GG20" s="376"/>
      <c r="GH20" s="376"/>
      <c r="GI20" s="376"/>
      <c r="GJ20" s="376"/>
      <c r="GK20" s="376"/>
      <c r="GL20" s="376"/>
      <c r="GM20" s="376"/>
      <c r="GN20" s="376"/>
      <c r="GO20" s="376"/>
      <c r="GP20" s="376"/>
      <c r="GQ20" s="376"/>
      <c r="GR20" s="376"/>
      <c r="GS20" s="376"/>
    </row>
  </sheetData>
  <mergeCells count="101">
    <mergeCell ref="CT1:CU1"/>
    <mergeCell ref="CV1:CW1"/>
    <mergeCell ref="CX1:CY1"/>
    <mergeCell ref="CZ1:DA1"/>
    <mergeCell ref="DB1:DC1"/>
    <mergeCell ref="DD1:DE1"/>
    <mergeCell ref="DF1:DG1"/>
    <mergeCell ref="DH1:DI1"/>
    <mergeCell ref="DJ1:DK1"/>
    <mergeCell ref="DL1:DM1"/>
    <mergeCell ref="DN1:DO1"/>
    <mergeCell ref="DP1:DQ1"/>
    <mergeCell ref="DR1:DS1"/>
    <mergeCell ref="DT1:DU1"/>
    <mergeCell ref="DV1:DW1"/>
    <mergeCell ref="DX1:DY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FN1:FO1"/>
    <mergeCell ref="FP1:FQ1"/>
    <mergeCell ref="FR1:FS1"/>
    <mergeCell ref="FT1:FU1"/>
    <mergeCell ref="FV1:FW1"/>
    <mergeCell ref="FX1:FY1"/>
    <mergeCell ref="GN1:GO1"/>
    <mergeCell ref="GP1:GQ1"/>
    <mergeCell ref="GR1:GS1"/>
    <mergeCell ref="FZ1:GA1"/>
    <mergeCell ref="GB1:GC1"/>
    <mergeCell ref="GD1:GE1"/>
    <mergeCell ref="GF1:GG1"/>
    <mergeCell ref="GH1:GI1"/>
    <mergeCell ref="GJ1:GK1"/>
    <mergeCell ref="GL1:GM1"/>
    <mergeCell ref="A1:A2"/>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s>
  <conditionalFormatting sqref="B4:GS6">
    <cfRule type="expression" dxfId="20" priority="1">
      <formula>ifcolor</formula>
    </cfRule>
  </conditionalFormatting>
  <drawing r:id="rId1"/>
</worksheet>
</file>